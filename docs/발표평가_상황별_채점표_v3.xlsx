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hyeonseok/Downloads/"/>
    </mc:Choice>
  </mc:AlternateContent>
  <xr:revisionPtr revIDLastSave="0" documentId="13_ncr:1_{975D2D73-B211-E84D-ABE1-E90607DD2333}" xr6:coauthVersionLast="47" xr6:coauthVersionMax="47" xr10:uidLastSave="{00000000-0000-0000-0000-000000000000}"/>
  <bookViews>
    <workbookView xWindow="0" yWindow="500" windowWidth="38400" windowHeight="21100" tabRatio="500" xr2:uid="{00000000-000D-0000-FFFF-FFFF00000000}"/>
  </bookViews>
  <sheets>
    <sheet name="평가기준표" sheetId="1" r:id="rId1"/>
    <sheet name="클러스터_가중치" sheetId="2" r:id="rId2"/>
    <sheet name="항목_내부가중치" sheetId="3" r:id="rId3"/>
    <sheet name="점수산정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4" i="4" l="1"/>
  <c r="B53" i="4"/>
  <c r="B52" i="4"/>
  <c r="B51" i="4"/>
  <c r="C50" i="4"/>
  <c r="B50" i="4"/>
  <c r="D50" i="4" s="1"/>
  <c r="B49" i="4"/>
  <c r="C48" i="4"/>
  <c r="B48" i="4"/>
  <c r="B57" i="4" s="1"/>
  <c r="D44" i="4"/>
  <c r="F44" i="4" s="1"/>
  <c r="D43" i="4"/>
  <c r="F43" i="4" s="1"/>
  <c r="F42" i="4"/>
  <c r="D42" i="4"/>
  <c r="F41" i="4"/>
  <c r="D41" i="4"/>
  <c r="D40" i="4"/>
  <c r="F40" i="4" s="1"/>
  <c r="D39" i="4"/>
  <c r="F39" i="4" s="1"/>
  <c r="F38" i="4"/>
  <c r="D38" i="4"/>
  <c r="F37" i="4"/>
  <c r="D37" i="4"/>
  <c r="D36" i="4"/>
  <c r="F36" i="4" s="1"/>
  <c r="D35" i="4"/>
  <c r="F35" i="4" s="1"/>
  <c r="D34" i="4"/>
  <c r="F34" i="4" s="1"/>
  <c r="F33" i="4"/>
  <c r="D33" i="4"/>
  <c r="D32" i="4"/>
  <c r="F32" i="4" s="1"/>
  <c r="D31" i="4"/>
  <c r="F31" i="4" s="1"/>
  <c r="D30" i="4"/>
  <c r="F30" i="4" s="1"/>
  <c r="F29" i="4"/>
  <c r="D29" i="4"/>
  <c r="D28" i="4"/>
  <c r="F28" i="4" s="1"/>
  <c r="D27" i="4"/>
  <c r="F27" i="4" s="1"/>
  <c r="D26" i="4"/>
  <c r="F26" i="4" s="1"/>
  <c r="F25" i="4"/>
  <c r="D25" i="4"/>
  <c r="D24" i="4"/>
  <c r="F24" i="4" s="1"/>
  <c r="D23" i="4"/>
  <c r="F23" i="4" s="1"/>
  <c r="D22" i="4"/>
  <c r="F22" i="4" s="1"/>
  <c r="F21" i="4"/>
  <c r="D21" i="4"/>
  <c r="D20" i="4"/>
  <c r="F20" i="4" s="1"/>
  <c r="D19" i="4"/>
  <c r="F19" i="4" s="1"/>
  <c r="D18" i="4"/>
  <c r="F18" i="4" s="1"/>
  <c r="F17" i="4"/>
  <c r="D17" i="4"/>
  <c r="D16" i="4"/>
  <c r="F16" i="4" s="1"/>
  <c r="D15" i="4"/>
  <c r="F15" i="4" s="1"/>
  <c r="D14" i="4"/>
  <c r="F14" i="4" s="1"/>
  <c r="F13" i="4"/>
  <c r="D13" i="4"/>
  <c r="D12" i="4"/>
  <c r="F12" i="4" s="1"/>
  <c r="D11" i="4"/>
  <c r="F11" i="4" s="1"/>
  <c r="D10" i="4"/>
  <c r="F10" i="4" s="1"/>
  <c r="F9" i="4"/>
  <c r="D9" i="4"/>
  <c r="D8" i="4"/>
  <c r="F8" i="4" s="1"/>
  <c r="D7" i="4"/>
  <c r="F7" i="4" s="1"/>
  <c r="D6" i="4"/>
  <c r="C52" i="4" s="1"/>
  <c r="E9" i="2"/>
  <c r="D9" i="2"/>
  <c r="C9" i="2"/>
  <c r="B9" i="2"/>
  <c r="D52" i="4" l="1"/>
  <c r="C53" i="4"/>
  <c r="D53" i="4" s="1"/>
  <c r="D48" i="4"/>
  <c r="C51" i="4"/>
  <c r="D51" i="4" s="1"/>
  <c r="F6" i="4"/>
  <c r="C54" i="4"/>
  <c r="D54" i="4" s="1"/>
  <c r="C49" i="4"/>
  <c r="D49" i="4" s="1"/>
  <c r="D56" i="4" l="1"/>
</calcChain>
</file>

<file path=xl/sharedStrings.xml><?xml version="1.0" encoding="utf-8"?>
<sst xmlns="http://schemas.openxmlformats.org/spreadsheetml/2006/main" count="403" uniqueCount="125">
  <si>
    <t>No</t>
  </si>
  <si>
    <t>클러스터</t>
  </si>
  <si>
    <t>세부 항목</t>
  </si>
  <si>
    <t>평가 설명</t>
  </si>
  <si>
    <t>데이터 소스</t>
  </si>
  <si>
    <t>적용 범위</t>
  </si>
  <si>
    <t>내용 충실도</t>
  </si>
  <si>
    <t>핵심 개념 커버리지</t>
  </si>
  <si>
    <r>
      <rPr>
        <sz val="10"/>
        <rFont val="Noto Sans CJK SC"/>
        <family val="2"/>
      </rPr>
      <t xml:space="preserve">발표자료의 핵심 개념을 발화에서 실제로 다뤘는가 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설명함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언급만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안나옴 판정</t>
    </r>
    <r>
      <rPr>
        <sz val="10"/>
        <rFont val="Arial"/>
        <charset val="1"/>
      </rPr>
      <t>)</t>
    </r>
  </si>
  <si>
    <r>
      <rPr>
        <sz val="10"/>
        <rFont val="Arial"/>
        <charset val="1"/>
      </rPr>
      <t xml:space="preserve">STT </t>
    </r>
    <r>
      <rPr>
        <sz val="10"/>
        <rFont val="Noto Sans CJK SC"/>
        <family val="2"/>
      </rPr>
      <t xml:space="preserve">전사본 </t>
    </r>
    <r>
      <rPr>
        <sz val="10"/>
        <rFont val="Arial"/>
        <charset val="1"/>
      </rPr>
      <t>+ PPT</t>
    </r>
  </si>
  <si>
    <t>전체</t>
  </si>
  <si>
    <t>설명 깊이</t>
  </si>
  <si>
    <r>
      <rPr>
        <sz val="10"/>
        <rFont val="Noto Sans CJK SC"/>
        <family val="2"/>
      </rPr>
      <t>용어를 읽는 데 그치지 않고 의미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원리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관계까지 설명했는가</t>
    </r>
  </si>
  <si>
    <r>
      <rPr>
        <sz val="10"/>
        <rFont val="Arial"/>
        <charset val="1"/>
      </rPr>
      <t xml:space="preserve">STT </t>
    </r>
    <r>
      <rPr>
        <sz val="10"/>
        <rFont val="Noto Sans CJK SC"/>
        <family val="2"/>
      </rPr>
      <t>전사본</t>
    </r>
  </si>
  <si>
    <r>
      <rPr>
        <sz val="10"/>
        <rFont val="Noto Sans CJK SC"/>
        <family val="2"/>
      </rPr>
      <t>근거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수치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사례 제시</t>
    </r>
  </si>
  <si>
    <r>
      <rPr>
        <sz val="10"/>
        <rFont val="Noto Sans CJK SC"/>
        <family val="2"/>
      </rPr>
      <t>주장에 필요한 근거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수치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사례가 제시됐는가</t>
    </r>
  </si>
  <si>
    <r>
      <rPr>
        <sz val="10"/>
        <rFont val="Noto Sans CJK SC"/>
        <family val="2"/>
      </rPr>
      <t>자료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발화 일치성</t>
    </r>
  </si>
  <si>
    <r>
      <rPr>
        <sz val="10"/>
        <rFont val="Noto Sans CJK SC"/>
        <family val="2"/>
      </rPr>
      <t>슬라이드 자료와 실제 발화 사이 모순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누락이 없는가</t>
    </r>
  </si>
  <si>
    <t>근거 없는 추가 발화</t>
  </si>
  <si>
    <t>자료에 없는 내용을 근거 없이 임의로 덧붙이지 않았는가</t>
  </si>
  <si>
    <r>
      <rPr>
        <sz val="10"/>
        <rFont val="Noto Sans CJK SC"/>
        <family val="2"/>
      </rPr>
      <t>선행연구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이론적 근거 인용</t>
    </r>
  </si>
  <si>
    <t>관련 이론이나 선행 연구를 적절히 인용했는가</t>
  </si>
  <si>
    <t>학교 프로젝트 전용</t>
  </si>
  <si>
    <t>논리 구조</t>
  </si>
  <si>
    <t>핵심 주장 제시 시점</t>
  </si>
  <si>
    <r>
      <rPr>
        <sz val="10"/>
        <rFont val="Noto Sans CJK SC"/>
        <family val="2"/>
      </rPr>
      <t>발표 목적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핵심 주장이 도입부에서 분명히 드러나는가</t>
    </r>
  </si>
  <si>
    <r>
      <rPr>
        <sz val="10"/>
        <rFont val="Noto Sans CJK SC"/>
        <family val="2"/>
      </rPr>
      <t>주장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근거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결론 연결</t>
    </r>
  </si>
  <si>
    <r>
      <rPr>
        <sz val="10"/>
        <rFont val="Noto Sans CJK SC"/>
        <family val="2"/>
      </rPr>
      <t>문제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원인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해결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주장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근거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해석 관계가 논리적으로 유지되는가</t>
    </r>
  </si>
  <si>
    <r>
      <rPr>
        <sz val="10"/>
        <rFont val="Noto Sans CJK SC"/>
        <family val="2"/>
      </rPr>
      <t>전제 생략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결론 점프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모순</t>
    </r>
  </si>
  <si>
    <t>전제를 건너뛰거나 갑자기 결론으로 점프하지 않는가</t>
  </si>
  <si>
    <t>전환의 자연스러움</t>
  </si>
  <si>
    <r>
      <rPr>
        <sz val="10"/>
        <rFont val="Noto Sans CJK SC"/>
        <family val="2"/>
      </rPr>
      <t>슬라이드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구간 간 전환과 연결 표현이 논리 관계와 맞는가</t>
    </r>
  </si>
  <si>
    <t>결론의 핵심 회수</t>
  </si>
  <si>
    <t>결론에서 앞의 핵심 내용을 다시 회수하는가</t>
  </si>
  <si>
    <t>두괄식 구조</t>
  </si>
  <si>
    <r>
      <rPr>
        <sz val="10"/>
        <rFont val="Noto Sans CJK SC"/>
        <family val="2"/>
      </rPr>
      <t>결론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핵심 메시지를 먼저 제시하고 근거를 뒤에 배치했는가</t>
    </r>
  </si>
  <si>
    <t>업무 보고 전용</t>
  </si>
  <si>
    <r>
      <rPr>
        <sz val="10"/>
        <rFont val="Noto Sans CJK SC"/>
        <family val="2"/>
      </rPr>
      <t>목적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청중 적합성</t>
    </r>
  </si>
  <si>
    <t>청중 수준 맞춤 설명</t>
  </si>
  <si>
    <t>청중의 배경지식 수준에 맞게 설명 깊이를 조절했는가</t>
  </si>
  <si>
    <t>목적에 맞는 강조점</t>
  </si>
  <si>
    <r>
      <rPr>
        <sz val="10"/>
        <rFont val="Noto Sans CJK SC"/>
        <family val="2"/>
      </rPr>
      <t>발표 목적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정보전달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설득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보고 등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에 맞게 강조할 내용을 선택했는가</t>
    </r>
  </si>
  <si>
    <r>
      <rPr>
        <sz val="10"/>
        <rFont val="Noto Sans CJK SC"/>
        <family val="2"/>
      </rPr>
      <t>흥미 유발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스토리텔링</t>
    </r>
  </si>
  <si>
    <r>
      <rPr>
        <sz val="10"/>
        <rFont val="Noto Sans CJK SC"/>
        <family val="2"/>
      </rPr>
      <t>청중의 관심을 끄는 도입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사례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스토리 요소가 있는가</t>
    </r>
  </si>
  <si>
    <t>신제품 설명 전용</t>
  </si>
  <si>
    <t>실행 가능한 제안 명확성</t>
  </si>
  <si>
    <t>보고의 결론이 구체적인 액션아이템으로 제시되는가</t>
  </si>
  <si>
    <t>언어적 명료성</t>
  </si>
  <si>
    <t>지시어 남용 여부</t>
  </si>
  <si>
    <r>
      <rPr>
        <sz val="10"/>
        <rFont val="Noto Sans CJK SC"/>
        <family val="2"/>
      </rPr>
      <t>이것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저것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이런 부분 같은 불명확한 지시어 반복이 없는가</t>
    </r>
  </si>
  <si>
    <t>전문용어 설명 동반</t>
  </si>
  <si>
    <r>
      <rPr>
        <sz val="10"/>
        <rFont val="Noto Sans CJK SC"/>
        <family val="2"/>
      </rPr>
      <t>전문용어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약어를 설명 없이 사용하지 않았는가</t>
    </r>
  </si>
  <si>
    <r>
      <rPr>
        <sz val="10"/>
        <rFont val="Noto Sans CJK SC"/>
        <family val="2"/>
      </rPr>
      <t>문장 길이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완결성</t>
    </r>
  </si>
  <si>
    <t>문장이 지나치게 길거나 끝맺지 못하지 않는가</t>
  </si>
  <si>
    <t>표현의 의미 없는 반복</t>
  </si>
  <si>
    <r>
      <rPr>
        <sz val="10"/>
        <rFont val="Noto Sans CJK SC"/>
        <family val="2"/>
      </rPr>
      <t>같은 단어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구를 의미 없이 반복하지 않는가</t>
    </r>
  </si>
  <si>
    <t>핵심 구조 신호어 사용</t>
  </si>
  <si>
    <r>
      <rPr>
        <sz val="10"/>
        <rFont val="Noto Sans CJK SC"/>
        <family val="2"/>
      </rPr>
      <t>첫째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반면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따라서 같은 신호어로 구조를 알려주는가</t>
    </r>
  </si>
  <si>
    <t>음성적 전달</t>
  </si>
  <si>
    <t>말속도 적절성</t>
  </si>
  <si>
    <r>
      <rPr>
        <sz val="10"/>
        <rFont val="Noto Sans CJK SC"/>
        <family val="2"/>
      </rPr>
      <t>본인 평균 대비 급격한 과속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감속 없이 안정적인가</t>
    </r>
  </si>
  <si>
    <r>
      <rPr>
        <sz val="10"/>
        <rFont val="Noto Sans CJK SC"/>
        <family val="2"/>
      </rPr>
      <t>음성 특징</t>
    </r>
    <r>
      <rPr>
        <sz val="10"/>
        <rFont val="Arial"/>
        <charset val="1"/>
      </rPr>
      <t xml:space="preserve">(STT </t>
    </r>
    <r>
      <rPr>
        <sz val="10"/>
        <rFont val="Noto Sans CJK SC"/>
        <family val="2"/>
      </rPr>
      <t>타임스탬프</t>
    </r>
    <r>
      <rPr>
        <sz val="10"/>
        <rFont val="Arial"/>
        <charset val="1"/>
      </rPr>
      <t>)</t>
    </r>
  </si>
  <si>
    <r>
      <rPr>
        <sz val="10"/>
        <rFont val="Noto Sans CJK SC"/>
        <family val="2"/>
      </rPr>
      <t>필러 빈도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위치</t>
    </r>
  </si>
  <si>
    <r>
      <rPr>
        <sz val="10"/>
        <rFont val="Noto Sans CJK SC"/>
        <family val="2"/>
      </rPr>
      <t>어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음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그 등 필러가 핵심 구간 근처에 몰려있지 않은가</t>
    </r>
  </si>
  <si>
    <t>음성 특징</t>
  </si>
  <si>
    <r>
      <rPr>
        <sz val="10"/>
        <rFont val="Noto Sans CJK SC"/>
        <family val="2"/>
      </rPr>
      <t>휴지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침묵의 위치</t>
    </r>
  </si>
  <si>
    <t>정적이 의미 단위 전환에서 자연스럽게 쓰였는가</t>
  </si>
  <si>
    <t>음량 안정성</t>
  </si>
  <si>
    <t>음량이 일관되고 안정적인가</t>
  </si>
  <si>
    <t>핵심 구간 강조</t>
  </si>
  <si>
    <r>
      <rPr>
        <sz val="10"/>
        <rFont val="Noto Sans CJK SC"/>
        <family val="2"/>
      </rPr>
      <t>핵심 내용 구간에서 속도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톤 변화로 강조했는가</t>
    </r>
  </si>
  <si>
    <t>시각자료 활용</t>
  </si>
  <si>
    <r>
      <rPr>
        <sz val="10"/>
        <rFont val="Noto Sans CJK SC"/>
        <family val="2"/>
      </rPr>
      <t xml:space="preserve">낭독 </t>
    </r>
    <r>
      <rPr>
        <sz val="10"/>
        <rFont val="Arial"/>
        <charset val="1"/>
      </rPr>
      <t xml:space="preserve">vs </t>
    </r>
    <r>
      <rPr>
        <sz val="10"/>
        <rFont val="Noto Sans CJK SC"/>
        <family val="2"/>
      </rPr>
      <t>실제 설명 구분</t>
    </r>
  </si>
  <si>
    <t>화면 문장을 그대로 읽지 않고 실제로 설명했는가</t>
  </si>
  <si>
    <t>슬라이드별 설명시간 균형</t>
  </si>
  <si>
    <t>중요도 대비 슬라이드별 설명 시간 배분이 적절한가</t>
  </si>
  <si>
    <r>
      <rPr>
        <sz val="10"/>
        <rFont val="Arial"/>
        <charset val="1"/>
      </rPr>
      <t xml:space="preserve">STT </t>
    </r>
    <r>
      <rPr>
        <sz val="10"/>
        <rFont val="Noto Sans CJK SC"/>
        <family val="2"/>
      </rPr>
      <t xml:space="preserve">타임스탬프 </t>
    </r>
    <r>
      <rPr>
        <sz val="10"/>
        <rFont val="Arial"/>
        <charset val="1"/>
      </rPr>
      <t>+ PPT</t>
    </r>
  </si>
  <si>
    <r>
      <rPr>
        <sz val="10"/>
        <rFont val="Noto Sans CJK SC"/>
        <family val="2"/>
      </rPr>
      <t>그래프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표 설명</t>
    </r>
  </si>
  <si>
    <r>
      <rPr>
        <sz val="10"/>
        <rFont val="Noto Sans CJK SC"/>
        <family val="2"/>
      </rPr>
      <t>그래프의 축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핵심 수치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변화 방향을 말로 설명했는가</t>
    </r>
  </si>
  <si>
    <r>
      <rPr>
        <sz val="10"/>
        <rFont val="Noto Sans CJK SC"/>
        <family val="2"/>
      </rPr>
      <t>슬라이드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발화 강조 일치</t>
    </r>
  </si>
  <si>
    <t>슬라이드 핵심과 발화의 강조점이 일치하는가</t>
  </si>
  <si>
    <t>시간 관리</t>
  </si>
  <si>
    <t>제한시간 준수</t>
  </si>
  <si>
    <t>전체 제한시간을 지켰는가</t>
  </si>
  <si>
    <r>
      <rPr>
        <sz val="10"/>
        <rFont val="Arial"/>
        <charset val="1"/>
      </rPr>
      <t xml:space="preserve">STT </t>
    </r>
    <r>
      <rPr>
        <sz val="10"/>
        <rFont val="Noto Sans CJK SC"/>
        <family val="2"/>
      </rPr>
      <t>타임스탬프</t>
    </r>
  </si>
  <si>
    <t>구간별 시간 배분</t>
  </si>
  <si>
    <r>
      <rPr>
        <sz val="10"/>
        <rFont val="Noto Sans CJK SC"/>
        <family val="2"/>
      </rPr>
      <t>도입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본론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결론의 시간 비중이 적절한가</t>
    </r>
  </si>
  <si>
    <t>핵심 슬라이드 체류시간</t>
  </si>
  <si>
    <t>핵심 슬라이드와 보조 슬라이드의 체류 시간이 중요도에 맞는가</t>
  </si>
  <si>
    <t>슬라이드 정보 밀도</t>
  </si>
  <si>
    <t>한 슬라이드에 텍스트가 과도하게 몰려 가독성을 해치지 않는가</t>
  </si>
  <si>
    <t>PPT</t>
  </si>
  <si>
    <r>
      <rPr>
        <sz val="10"/>
        <rFont val="Noto Sans CJK SC"/>
        <family val="2"/>
      </rPr>
      <t>제목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본문 일치성</t>
    </r>
  </si>
  <si>
    <t>슬라이드 제목이 본문 핵심 내용을 정확히 요약하는가</t>
  </si>
  <si>
    <r>
      <rPr>
        <sz val="10"/>
        <rFont val="Noto Sans CJK SC"/>
        <family val="2"/>
      </rPr>
      <t>목차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로드맵 슬라이드</t>
    </r>
  </si>
  <si>
    <t>청중이 전체 발표 구조를 미리 파악할 수 있게 안내했는가</t>
  </si>
  <si>
    <t>데이터 시각화 적절성</t>
  </si>
  <si>
    <r>
      <rPr>
        <sz val="10"/>
        <rFont val="Noto Sans CJK SC"/>
        <family val="2"/>
      </rPr>
      <t>차트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그래프 유형이 전달하려는 데이터 성격에 적합한가</t>
    </r>
  </si>
  <si>
    <r>
      <rPr>
        <sz val="10"/>
        <rFont val="Noto Sans CJK SC"/>
        <family val="2"/>
      </rPr>
      <t>출처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근거 표기</t>
    </r>
  </si>
  <si>
    <r>
      <rPr>
        <sz val="10"/>
        <rFont val="Noto Sans CJK SC"/>
        <family val="2"/>
      </rPr>
      <t>통계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인용 자료에 출처가 명시되어 있는가</t>
    </r>
  </si>
  <si>
    <r>
      <rPr>
        <sz val="10"/>
        <rFont val="Noto Sans CJK SC"/>
        <family val="2"/>
      </rPr>
      <t>오탈자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맞춤법</t>
    </r>
  </si>
  <si>
    <r>
      <rPr>
        <sz val="10"/>
        <rFont val="Noto Sans CJK SC"/>
        <family val="2"/>
      </rPr>
      <t>슬라이드 텍스트에 오탈자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맞춤법 오류가 없는가</t>
    </r>
  </si>
  <si>
    <r>
      <rPr>
        <b/>
        <sz val="11"/>
        <color rgb="FFFFFFFF"/>
        <rFont val="Noto Sans CJK SC"/>
        <family val="2"/>
      </rPr>
      <t xml:space="preserve">학교 프로젝트 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family val="2"/>
      </rPr>
      <t>교수 대상</t>
    </r>
    <r>
      <rPr>
        <b/>
        <sz val="11"/>
        <color rgb="FFFFFFF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</si>
  <si>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 xml:space="preserve">신제품 설명 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family val="2"/>
      </rPr>
      <t>대중 대상</t>
    </r>
    <r>
      <rPr>
        <b/>
        <sz val="11"/>
        <color rgb="FFFFFFF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</si>
  <si>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 xml:space="preserve">업무 보고 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family val="2"/>
      </rPr>
      <t>상사 대상</t>
    </r>
    <r>
      <rPr>
        <b/>
        <sz val="11"/>
        <color rgb="FFFFFFF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</si>
  <si>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 xml:space="preserve">동료 간 캐주얼 </t>
    </r>
    <r>
      <rPr>
        <b/>
        <sz val="11"/>
        <color rgb="FFFFFFFF"/>
        <rFont val="Arial"/>
        <charset val="1"/>
      </rPr>
      <t>PR</t>
    </r>
  </si>
  <si>
    <r>
      <rPr>
        <b/>
        <sz val="11"/>
        <rFont val="Noto Sans CJK SC"/>
        <family val="2"/>
      </rPr>
      <t>목적</t>
    </r>
    <r>
      <rPr>
        <b/>
        <sz val="11"/>
        <rFont val="Arial"/>
        <charset val="1"/>
      </rPr>
      <t>·</t>
    </r>
    <r>
      <rPr>
        <b/>
        <sz val="11"/>
        <rFont val="Noto Sans CJK SC"/>
        <family val="2"/>
      </rPr>
      <t>청중 적합성</t>
    </r>
  </si>
  <si>
    <r>
      <rPr>
        <b/>
        <sz val="11"/>
        <rFont val="Noto Sans CJK SC"/>
        <family val="2"/>
      </rPr>
      <t>합계</t>
    </r>
    <r>
      <rPr>
        <b/>
        <sz val="11"/>
        <rFont val="Arial"/>
        <charset val="1"/>
      </rPr>
      <t>(</t>
    </r>
    <r>
      <rPr>
        <b/>
        <sz val="11"/>
        <rFont val="Noto Sans CJK SC"/>
        <family val="2"/>
      </rPr>
      <t>검증</t>
    </r>
    <r>
      <rPr>
        <b/>
        <sz val="11"/>
        <rFont val="Arial"/>
        <charset val="1"/>
      </rPr>
      <t>, 100)</t>
    </r>
  </si>
  <si>
    <r>
      <rPr>
        <sz val="11"/>
        <color theme="1"/>
        <rFont val="Noto Sans CJK SC"/>
        <family val="2"/>
      </rPr>
      <t>목적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청중 적합성</t>
    </r>
  </si>
  <si>
    <r>
      <rPr>
        <i/>
        <sz val="9"/>
        <color rgb="FF808080"/>
        <rFont val="Noto Sans CJK SC"/>
        <family val="2"/>
      </rPr>
      <t xml:space="preserve">※ 값이 </t>
    </r>
    <r>
      <rPr>
        <i/>
        <sz val="9"/>
        <color rgb="FF808080"/>
        <rFont val="Arial"/>
        <charset val="1"/>
      </rPr>
      <t>0(-)</t>
    </r>
    <r>
      <rPr>
        <i/>
        <sz val="9"/>
        <color rgb="FF808080"/>
        <rFont val="Noto Sans CJK SC"/>
        <family val="2"/>
      </rPr>
      <t>이면 해당 상황에서 그 항목은 평가하지 않습니다</t>
    </r>
    <r>
      <rPr>
        <i/>
        <sz val="9"/>
        <color rgb="FF808080"/>
        <rFont val="Arial"/>
        <charset val="1"/>
      </rPr>
      <t xml:space="preserve">. </t>
    </r>
    <r>
      <rPr>
        <i/>
        <sz val="9"/>
        <color rgb="FF808080"/>
        <rFont val="Noto Sans CJK SC"/>
        <family val="2"/>
      </rPr>
      <t>숫자는 같은 클러스터 안에서의 상대적 중요도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>가중평균 가중치</t>
    </r>
    <r>
      <rPr>
        <i/>
        <sz val="9"/>
        <color rgb="FF808080"/>
        <rFont val="Arial"/>
        <charset val="1"/>
      </rPr>
      <t>)</t>
    </r>
    <r>
      <rPr>
        <i/>
        <sz val="9"/>
        <color rgb="FF808080"/>
        <rFont val="Noto Sans CJK SC"/>
        <family val="2"/>
      </rPr>
      <t>이며</t>
    </r>
    <r>
      <rPr>
        <i/>
        <sz val="9"/>
        <color rgb="FF808080"/>
        <rFont val="Arial"/>
        <charset val="1"/>
      </rPr>
      <t xml:space="preserve">, 100 </t>
    </r>
    <r>
      <rPr>
        <i/>
        <sz val="9"/>
        <color rgb="FF808080"/>
        <rFont val="Noto Sans CJK SC"/>
        <family val="2"/>
      </rPr>
      <t>합계일 필요는 없습니다</t>
    </r>
    <r>
      <rPr>
        <i/>
        <sz val="9"/>
        <color rgb="FF808080"/>
        <rFont val="Arial"/>
        <charset val="1"/>
      </rPr>
      <t>.</t>
    </r>
  </si>
  <si>
    <r>
      <rPr>
        <b/>
        <sz val="12"/>
        <rFont val="Arial"/>
        <charset val="1"/>
      </rPr>
      <t xml:space="preserve">1. </t>
    </r>
    <r>
      <rPr>
        <b/>
        <sz val="12"/>
        <rFont val="Noto Sans CJK SC"/>
        <family val="2"/>
      </rPr>
      <t>발표 상황 선택</t>
    </r>
  </si>
  <si>
    <t>상황</t>
  </si>
  <si>
    <r>
      <rPr>
        <sz val="11"/>
        <color rgb="FF0000FF"/>
        <rFont val="Noto Sans CJK SC"/>
        <family val="2"/>
      </rPr>
      <t xml:space="preserve">학교 프로젝트 </t>
    </r>
    <r>
      <rPr>
        <sz val="11"/>
        <color rgb="FF0000FF"/>
        <rFont val="Arial"/>
        <charset val="1"/>
      </rPr>
      <t>(</t>
    </r>
    <r>
      <rPr>
        <sz val="11"/>
        <color rgb="FF0000FF"/>
        <rFont val="Noto Sans CJK SC"/>
        <family val="2"/>
      </rPr>
      <t>교수 대상</t>
    </r>
    <r>
      <rPr>
        <sz val="11"/>
        <color rgb="FF0000FF"/>
        <rFont val="Arial"/>
        <charset val="1"/>
      </rPr>
      <t>)</t>
    </r>
  </si>
  <si>
    <r>
      <rPr>
        <b/>
        <sz val="12"/>
        <rFont val="Arial"/>
        <charset val="1"/>
      </rPr>
      <t xml:space="preserve">2. </t>
    </r>
    <r>
      <rPr>
        <b/>
        <sz val="12"/>
        <rFont val="Noto Sans CJK SC"/>
        <family val="2"/>
      </rPr>
      <t xml:space="preserve">항목별 채점 </t>
    </r>
    <r>
      <rPr>
        <b/>
        <sz val="12"/>
        <rFont val="Arial"/>
        <charset val="1"/>
      </rPr>
      <t xml:space="preserve">(0~100, </t>
    </r>
    <r>
      <rPr>
        <b/>
        <sz val="12"/>
        <rFont val="Noto Sans CJK SC"/>
        <family val="2"/>
      </rPr>
      <t xml:space="preserve">해당 상황에서 </t>
    </r>
    <r>
      <rPr>
        <b/>
        <sz val="12"/>
        <rFont val="Arial"/>
        <charset val="1"/>
      </rPr>
      <t>'-'</t>
    </r>
    <r>
      <rPr>
        <b/>
        <sz val="12"/>
        <rFont val="Noto Sans CJK SC"/>
        <family val="2"/>
      </rPr>
      <t>로 표시된 항목은 채점 불필요</t>
    </r>
    <r>
      <rPr>
        <b/>
        <sz val="12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</si>
  <si>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>적용 여부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family val="2"/>
      </rPr>
      <t>내부가중치</t>
    </r>
    <r>
      <rPr>
        <b/>
        <sz val="11"/>
        <color rgb="FFFFFFF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</si>
  <si>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>채점</t>
    </r>
    <r>
      <rPr>
        <b/>
        <sz val="11"/>
        <color rgb="FFFFFFFF"/>
        <rFont val="Arial"/>
        <charset val="1"/>
      </rPr>
      <t>(0~100)</t>
    </r>
  </si>
  <si>
    <t>기여도</t>
  </si>
  <si>
    <r>
      <rPr>
        <sz val="9"/>
        <color rgb="FF808080"/>
        <rFont val="Noto Sans CJK SC"/>
        <family val="2"/>
      </rPr>
      <t>목적</t>
    </r>
    <r>
      <rPr>
        <sz val="9"/>
        <color rgb="FF808080"/>
        <rFont val="Arial"/>
        <charset val="1"/>
      </rPr>
      <t>·</t>
    </r>
    <r>
      <rPr>
        <sz val="9"/>
        <color rgb="FF808080"/>
        <rFont val="Noto Sans CJK SC"/>
        <family val="2"/>
      </rPr>
      <t>청중 적합성</t>
    </r>
  </si>
  <si>
    <r>
      <rPr>
        <b/>
        <sz val="12"/>
        <rFont val="Arial"/>
        <charset val="1"/>
      </rPr>
      <t xml:space="preserve">3. </t>
    </r>
    <r>
      <rPr>
        <b/>
        <sz val="12"/>
        <rFont val="Noto Sans CJK SC"/>
        <family val="2"/>
      </rPr>
      <t xml:space="preserve">클러스터별 요약 </t>
    </r>
    <r>
      <rPr>
        <b/>
        <sz val="12"/>
        <rFont val="Arial"/>
        <charset val="1"/>
      </rPr>
      <t>(</t>
    </r>
    <r>
      <rPr>
        <b/>
        <sz val="12"/>
        <rFont val="Noto Sans CJK SC"/>
        <family val="2"/>
      </rPr>
      <t>중복 완화</t>
    </r>
    <r>
      <rPr>
        <b/>
        <sz val="12"/>
        <rFont val="Arial"/>
        <charset val="1"/>
      </rPr>
      <t xml:space="preserve">: </t>
    </r>
    <r>
      <rPr>
        <b/>
        <sz val="12"/>
        <rFont val="Noto Sans CJK SC"/>
        <family val="2"/>
      </rPr>
      <t>같은 클러스터 항목은 가중평균으로 묶여 계산됩니다</t>
    </r>
    <r>
      <rPr>
        <b/>
        <sz val="12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</si>
  <si>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>클러스터 가중치</t>
    </r>
    <r>
      <rPr>
        <b/>
        <sz val="11"/>
        <color rgb="FFFFFFFF"/>
        <rFont val="Arial"/>
        <charset val="1"/>
      </rPr>
      <t>(%)</t>
    </r>
  </si>
  <si>
    <t>클러스터 평균점수</t>
  </si>
  <si>
    <t>가중 반영 점수</t>
  </si>
  <si>
    <r>
      <rPr>
        <b/>
        <sz val="13"/>
        <rFont val="Noto Sans CJK SC"/>
        <family val="2"/>
      </rPr>
      <t xml:space="preserve">최종 점수 </t>
    </r>
    <r>
      <rPr>
        <b/>
        <sz val="13"/>
        <rFont val="Arial"/>
        <charset val="1"/>
      </rPr>
      <t>(0~100)</t>
    </r>
  </si>
  <si>
    <r>
      <rPr>
        <i/>
        <sz val="9"/>
        <color rgb="FF808080"/>
        <rFont val="Noto Sans CJK SC"/>
        <family val="2"/>
      </rPr>
      <t>클러스터 가중치 합계 검증</t>
    </r>
    <r>
      <rPr>
        <i/>
        <sz val="9"/>
        <color rgb="FF808080"/>
        <rFont val="Arial"/>
        <charset val="1"/>
      </rPr>
      <t>(100)</t>
    </r>
  </si>
  <si>
    <r>
      <rPr>
        <i/>
        <sz val="9"/>
        <color rgb="FF808080"/>
        <rFont val="Noto Sans CJK SC"/>
        <family val="2"/>
      </rPr>
      <t>※ 노란 셀만 입력</t>
    </r>
    <r>
      <rPr>
        <i/>
        <sz val="9"/>
        <color rgb="FF808080"/>
        <rFont val="Arial"/>
        <charset val="1"/>
      </rPr>
      <t>: C2(</t>
    </r>
    <r>
      <rPr>
        <i/>
        <sz val="9"/>
        <color rgb="FF808080"/>
        <rFont val="Noto Sans CJK SC"/>
        <family val="2"/>
      </rPr>
      <t>상황 선택</t>
    </r>
    <r>
      <rPr>
        <i/>
        <sz val="9"/>
        <color rgb="FF808080"/>
        <rFont val="Arial"/>
        <charset val="1"/>
      </rPr>
      <t>), E</t>
    </r>
    <r>
      <rPr>
        <i/>
        <sz val="9"/>
        <color rgb="FF808080"/>
        <rFont val="Noto Sans CJK SC"/>
        <family val="2"/>
      </rPr>
      <t>열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 xml:space="preserve">항목별 채점 </t>
    </r>
    <r>
      <rPr>
        <i/>
        <sz val="9"/>
        <color rgb="FF808080"/>
        <rFont val="Arial"/>
        <charset val="1"/>
      </rPr>
      <t>0~100). '-'</t>
    </r>
    <r>
      <rPr>
        <i/>
        <sz val="9"/>
        <color rgb="FF808080"/>
        <rFont val="Noto Sans CJK SC"/>
        <family val="2"/>
      </rPr>
      <t>로 표시된 항목은 해당 상황에서 자동 제외됩니다</t>
    </r>
    <r>
      <rPr>
        <i/>
        <sz val="9"/>
        <color rgb="FF808080"/>
        <rFont val="Arial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</si>
</sst>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0;\-"/>
    <numFmt numFmtId="165" formatCode="0.0"/>
  </numFmts>
  <fonts count="20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FFFFFF"/>
      <name val="Noto Sans CJK SC"/>
      <family val="2"/>
    </font>
    <font>
      <sz val="10"/>
      <name val="Arial"/>
      <charset val="1"/>
    </font>
    <font>
      <sz val="10"/>
      <name val="Noto Sans CJK SC"/>
      <family val="2"/>
    </font>
    <font>
      <b/>
      <sz val="11"/>
      <name val="Noto Sans CJK SC"/>
      <family val="2"/>
    </font>
    <font>
      <sz val="11"/>
      <color rgb="FF0000FF"/>
      <name val="Arial"/>
      <charset val="1"/>
    </font>
    <font>
      <b/>
      <sz val="11"/>
      <name val="Arial"/>
      <charset val="1"/>
    </font>
    <font>
      <sz val="11"/>
      <color theme="1"/>
      <name val="Noto Sans CJK SC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charset val="1"/>
    </font>
    <font>
      <b/>
      <sz val="12"/>
      <name val="Arial"/>
      <charset val="1"/>
    </font>
    <font>
      <b/>
      <sz val="12"/>
      <name val="Noto Sans CJK SC"/>
      <family val="2"/>
    </font>
    <font>
      <sz val="11"/>
      <color rgb="FF0000FF"/>
      <name val="Noto Sans CJK SC"/>
      <family val="2"/>
    </font>
    <font>
      <sz val="9"/>
      <color rgb="FF808080"/>
      <name val="Noto Sans CJK SC"/>
      <family val="2"/>
    </font>
    <font>
      <sz val="11"/>
      <color rgb="FF000000"/>
      <name val="Arial"/>
      <charset val="1"/>
    </font>
    <font>
      <sz val="9"/>
      <color rgb="FF808080"/>
      <name val="Arial"/>
      <charset val="1"/>
    </font>
    <font>
      <b/>
      <sz val="13"/>
      <name val="Noto Sans CJK SC"/>
      <family val="2"/>
    </font>
    <font>
      <b/>
      <sz val="13"/>
      <name val="Arial"/>
      <charset val="1"/>
    </font>
    <font>
      <b/>
      <sz val="14"/>
      <color rgb="FF1F4E7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" fontId="6" fillId="4" borderId="1" xfId="0" applyNumberFormat="1" applyFont="1" applyFill="1" applyBorder="1" applyAlignment="1">
      <alignment horizontal="center"/>
    </xf>
    <xf numFmtId="0" fontId="5" fillId="0" borderId="0" xfId="0" applyFont="1"/>
    <xf numFmtId="1" fontId="7" fillId="0" borderId="1" xfId="0" applyNumberFormat="1" applyFont="1" applyBorder="1" applyAlignment="1">
      <alignment horizontal="center"/>
    </xf>
    <xf numFmtId="0" fontId="0" fillId="0" borderId="1" xfId="0" applyBorder="1"/>
    <xf numFmtId="0" fontId="8" fillId="0" borderId="1" xfId="0" applyFont="1" applyBorder="1"/>
    <xf numFmtId="0" fontId="4" fillId="0" borderId="1" xfId="0" applyFont="1" applyBorder="1"/>
    <xf numFmtId="164" fontId="6" fillId="4" borderId="1" xfId="0" applyNumberFormat="1" applyFont="1" applyFill="1" applyBorder="1" applyAlignment="1">
      <alignment horizontal="center"/>
    </xf>
    <xf numFmtId="0" fontId="9" fillId="0" borderId="0" xfId="0" applyFont="1"/>
    <xf numFmtId="0" fontId="11" fillId="0" borderId="0" xfId="0" applyFont="1"/>
    <xf numFmtId="0" fontId="13" fillId="4" borderId="1" xfId="0" applyFont="1" applyFill="1" applyBorder="1"/>
    <xf numFmtId="0" fontId="14" fillId="0" borderId="1" xfId="0" applyFont="1" applyBorder="1"/>
    <xf numFmtId="164" fontId="15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7" fillId="0" borderId="0" xfId="0" applyFont="1"/>
    <xf numFmtId="165" fontId="19" fillId="0" borderId="1" xfId="0" applyNumberFormat="1" applyFont="1" applyBorder="1" applyAlignment="1">
      <alignment horizontal="center"/>
    </xf>
    <xf numFmtId="1" fontId="10" fillId="0" borderId="0" xfId="0" applyNumberFormat="1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Normal="100" workbookViewId="0">
      <pane ySplit="1" topLeftCell="A13" activePane="bottomLeft" state="frozen"/>
      <selection pane="bottomLeft" activeCell="H62" sqref="H62"/>
    </sheetView>
  </sheetViews>
  <sheetFormatPr baseColWidth="10" defaultColWidth="8.6640625" defaultRowHeight="15"/>
  <cols>
    <col min="1" max="1" width="5" style="23" customWidth="1"/>
    <col min="2" max="2" width="16" style="23" customWidth="1"/>
    <col min="3" max="3" width="20" style="23" customWidth="1"/>
    <col min="4" max="4" width="46" style="23" customWidth="1"/>
    <col min="5" max="5" width="20" style="23" customWidth="1"/>
    <col min="6" max="6" width="16" style="23" customWidth="1"/>
    <col min="7" max="16384" width="8.6640625" style="23"/>
  </cols>
  <sheetData>
    <row r="1" spans="1:6" ht="16">
      <c r="A1" s="1" t="s">
        <v>0</v>
      </c>
      <c r="B1" s="2" t="s">
        <v>1</v>
      </c>
      <c r="C1" s="2" t="s">
        <v>2</v>
      </c>
      <c r="D1" s="28" t="s">
        <v>3</v>
      </c>
      <c r="E1" s="28" t="s">
        <v>4</v>
      </c>
      <c r="F1" s="2" t="s">
        <v>5</v>
      </c>
    </row>
    <row r="2" spans="1:6" ht="31.5" customHeight="1">
      <c r="A2" s="24">
        <v>1</v>
      </c>
      <c r="B2" s="25" t="s">
        <v>6</v>
      </c>
      <c r="C2" s="25" t="s">
        <v>7</v>
      </c>
      <c r="D2" s="31" t="s">
        <v>8</v>
      </c>
      <c r="E2" s="29" t="s">
        <v>9</v>
      </c>
      <c r="F2" s="25" t="s">
        <v>10</v>
      </c>
    </row>
    <row r="3" spans="1:6" ht="31.5" customHeight="1">
      <c r="A3" s="24">
        <v>2</v>
      </c>
      <c r="B3" s="25" t="s">
        <v>6</v>
      </c>
      <c r="C3" s="25" t="s">
        <v>11</v>
      </c>
      <c r="D3" s="31" t="s">
        <v>12</v>
      </c>
      <c r="E3" s="29" t="s">
        <v>13</v>
      </c>
      <c r="F3" s="25" t="s">
        <v>10</v>
      </c>
    </row>
    <row r="4" spans="1:6" ht="31.5" customHeight="1">
      <c r="A4" s="24">
        <v>3</v>
      </c>
      <c r="B4" s="25" t="s">
        <v>6</v>
      </c>
      <c r="C4" s="25" t="s">
        <v>14</v>
      </c>
      <c r="D4" s="31" t="s">
        <v>15</v>
      </c>
      <c r="E4" s="29" t="s">
        <v>13</v>
      </c>
      <c r="F4" s="25" t="s">
        <v>10</v>
      </c>
    </row>
    <row r="5" spans="1:6" ht="31.5" customHeight="1">
      <c r="A5" s="24">
        <v>4</v>
      </c>
      <c r="B5" s="25" t="s">
        <v>6</v>
      </c>
      <c r="C5" s="25" t="s">
        <v>16</v>
      </c>
      <c r="D5" s="31" t="s">
        <v>17</v>
      </c>
      <c r="E5" s="29" t="s">
        <v>9</v>
      </c>
      <c r="F5" s="25" t="s">
        <v>10</v>
      </c>
    </row>
    <row r="6" spans="1:6" ht="31.5" customHeight="1">
      <c r="A6" s="24">
        <v>5</v>
      </c>
      <c r="B6" s="25" t="s">
        <v>6</v>
      </c>
      <c r="C6" s="25" t="s">
        <v>18</v>
      </c>
      <c r="D6" s="31" t="s">
        <v>19</v>
      </c>
      <c r="E6" s="29" t="s">
        <v>9</v>
      </c>
      <c r="F6" s="25" t="s">
        <v>10</v>
      </c>
    </row>
    <row r="7" spans="1:6" ht="31.5" customHeight="1">
      <c r="A7" s="26">
        <v>6</v>
      </c>
      <c r="B7" s="27" t="s">
        <v>6</v>
      </c>
      <c r="C7" s="27" t="s">
        <v>20</v>
      </c>
      <c r="D7" s="32" t="s">
        <v>21</v>
      </c>
      <c r="E7" s="30" t="s">
        <v>13</v>
      </c>
      <c r="F7" s="27" t="s">
        <v>22</v>
      </c>
    </row>
    <row r="8" spans="1:6" ht="31.5" customHeight="1">
      <c r="A8" s="24">
        <v>7</v>
      </c>
      <c r="B8" s="25" t="s">
        <v>23</v>
      </c>
      <c r="C8" s="25" t="s">
        <v>24</v>
      </c>
      <c r="D8" s="31" t="s">
        <v>25</v>
      </c>
      <c r="E8" s="29" t="s">
        <v>13</v>
      </c>
      <c r="F8" s="25" t="s">
        <v>10</v>
      </c>
    </row>
    <row r="9" spans="1:6" ht="31.5" customHeight="1">
      <c r="A9" s="24">
        <v>8</v>
      </c>
      <c r="B9" s="25" t="s">
        <v>23</v>
      </c>
      <c r="C9" s="25" t="s">
        <v>26</v>
      </c>
      <c r="D9" s="31" t="s">
        <v>27</v>
      </c>
      <c r="E9" s="29" t="s">
        <v>13</v>
      </c>
      <c r="F9" s="25" t="s">
        <v>10</v>
      </c>
    </row>
    <row r="10" spans="1:6" ht="31.5" customHeight="1">
      <c r="A10" s="24">
        <v>9</v>
      </c>
      <c r="B10" s="25" t="s">
        <v>23</v>
      </c>
      <c r="C10" s="25" t="s">
        <v>28</v>
      </c>
      <c r="D10" s="31" t="s">
        <v>29</v>
      </c>
      <c r="E10" s="29" t="s">
        <v>13</v>
      </c>
      <c r="F10" s="25" t="s">
        <v>10</v>
      </c>
    </row>
    <row r="11" spans="1:6" ht="31.5" customHeight="1">
      <c r="A11" s="24">
        <v>10</v>
      </c>
      <c r="B11" s="25" t="s">
        <v>23</v>
      </c>
      <c r="C11" s="25" t="s">
        <v>30</v>
      </c>
      <c r="D11" s="31" t="s">
        <v>31</v>
      </c>
      <c r="E11" s="29" t="s">
        <v>13</v>
      </c>
      <c r="F11" s="25" t="s">
        <v>10</v>
      </c>
    </row>
    <row r="12" spans="1:6" ht="31.5" customHeight="1">
      <c r="A12" s="24">
        <v>11</v>
      </c>
      <c r="B12" s="25" t="s">
        <v>23</v>
      </c>
      <c r="C12" s="25" t="s">
        <v>32</v>
      </c>
      <c r="D12" s="31" t="s">
        <v>33</v>
      </c>
      <c r="E12" s="29" t="s">
        <v>13</v>
      </c>
      <c r="F12" s="25" t="s">
        <v>10</v>
      </c>
    </row>
    <row r="13" spans="1:6" ht="31.5" customHeight="1">
      <c r="A13" s="26">
        <v>12</v>
      </c>
      <c r="B13" s="27" t="s">
        <v>23</v>
      </c>
      <c r="C13" s="27" t="s">
        <v>34</v>
      </c>
      <c r="D13" s="32" t="s">
        <v>35</v>
      </c>
      <c r="E13" s="30" t="s">
        <v>13</v>
      </c>
      <c r="F13" s="27" t="s">
        <v>36</v>
      </c>
    </row>
    <row r="14" spans="1:6" ht="31.5" customHeight="1">
      <c r="A14" s="24">
        <v>13</v>
      </c>
      <c r="B14" s="25" t="s">
        <v>37</v>
      </c>
      <c r="C14" s="25" t="s">
        <v>38</v>
      </c>
      <c r="D14" s="31" t="s">
        <v>39</v>
      </c>
      <c r="E14" s="29" t="s">
        <v>13</v>
      </c>
      <c r="F14" s="25" t="s">
        <v>10</v>
      </c>
    </row>
    <row r="15" spans="1:6" ht="31.5" customHeight="1">
      <c r="A15" s="24">
        <v>14</v>
      </c>
      <c r="B15" s="25" t="s">
        <v>37</v>
      </c>
      <c r="C15" s="25" t="s">
        <v>40</v>
      </c>
      <c r="D15" s="31" t="s">
        <v>41</v>
      </c>
      <c r="E15" s="29" t="s">
        <v>13</v>
      </c>
      <c r="F15" s="25" t="s">
        <v>10</v>
      </c>
    </row>
    <row r="16" spans="1:6" ht="31.5" customHeight="1">
      <c r="A16" s="26">
        <v>15</v>
      </c>
      <c r="B16" s="27" t="s">
        <v>37</v>
      </c>
      <c r="C16" s="27" t="s">
        <v>42</v>
      </c>
      <c r="D16" s="32" t="s">
        <v>43</v>
      </c>
      <c r="E16" s="30" t="s">
        <v>13</v>
      </c>
      <c r="F16" s="27" t="s">
        <v>44</v>
      </c>
    </row>
    <row r="17" spans="1:6" ht="31.5" customHeight="1">
      <c r="A17" s="26">
        <v>16</v>
      </c>
      <c r="B17" s="27" t="s">
        <v>37</v>
      </c>
      <c r="C17" s="27" t="s">
        <v>45</v>
      </c>
      <c r="D17" s="32" t="s">
        <v>46</v>
      </c>
      <c r="E17" s="30" t="s">
        <v>13</v>
      </c>
      <c r="F17" s="27" t="s">
        <v>36</v>
      </c>
    </row>
    <row r="18" spans="1:6" ht="31.5" customHeight="1">
      <c r="A18" s="24">
        <v>17</v>
      </c>
      <c r="B18" s="25" t="s">
        <v>47</v>
      </c>
      <c r="C18" s="25" t="s">
        <v>48</v>
      </c>
      <c r="D18" s="31" t="s">
        <v>49</v>
      </c>
      <c r="E18" s="29" t="s">
        <v>13</v>
      </c>
      <c r="F18" s="25" t="s">
        <v>10</v>
      </c>
    </row>
    <row r="19" spans="1:6" ht="31.5" customHeight="1">
      <c r="A19" s="24">
        <v>18</v>
      </c>
      <c r="B19" s="25" t="s">
        <v>47</v>
      </c>
      <c r="C19" s="25" t="s">
        <v>50</v>
      </c>
      <c r="D19" s="31" t="s">
        <v>51</v>
      </c>
      <c r="E19" s="29" t="s">
        <v>13</v>
      </c>
      <c r="F19" s="25" t="s">
        <v>10</v>
      </c>
    </row>
    <row r="20" spans="1:6" ht="31.5" customHeight="1">
      <c r="A20" s="24">
        <v>19</v>
      </c>
      <c r="B20" s="25" t="s">
        <v>47</v>
      </c>
      <c r="C20" s="25" t="s">
        <v>52</v>
      </c>
      <c r="D20" s="31" t="s">
        <v>53</v>
      </c>
      <c r="E20" s="29" t="s">
        <v>13</v>
      </c>
      <c r="F20" s="25" t="s">
        <v>10</v>
      </c>
    </row>
    <row r="21" spans="1:6" ht="31.5" customHeight="1">
      <c r="A21" s="24">
        <v>20</v>
      </c>
      <c r="B21" s="25" t="s">
        <v>47</v>
      </c>
      <c r="C21" s="25" t="s">
        <v>54</v>
      </c>
      <c r="D21" s="31" t="s">
        <v>55</v>
      </c>
      <c r="E21" s="29" t="s">
        <v>13</v>
      </c>
      <c r="F21" s="25" t="s">
        <v>10</v>
      </c>
    </row>
    <row r="22" spans="1:6" ht="31.5" customHeight="1">
      <c r="A22" s="24">
        <v>21</v>
      </c>
      <c r="B22" s="25" t="s">
        <v>47</v>
      </c>
      <c r="C22" s="25" t="s">
        <v>56</v>
      </c>
      <c r="D22" s="31" t="s">
        <v>57</v>
      </c>
      <c r="E22" s="29" t="s">
        <v>13</v>
      </c>
      <c r="F22" s="25" t="s">
        <v>10</v>
      </c>
    </row>
    <row r="23" spans="1:6" ht="31.5" customHeight="1">
      <c r="A23" s="24">
        <v>22</v>
      </c>
      <c r="B23" s="25" t="s">
        <v>58</v>
      </c>
      <c r="C23" s="25" t="s">
        <v>59</v>
      </c>
      <c r="D23" s="31" t="s">
        <v>60</v>
      </c>
      <c r="E23" s="31" t="s">
        <v>61</v>
      </c>
      <c r="F23" s="25" t="s">
        <v>10</v>
      </c>
    </row>
    <row r="24" spans="1:6" ht="31.5" customHeight="1">
      <c r="A24" s="24">
        <v>23</v>
      </c>
      <c r="B24" s="25" t="s">
        <v>58</v>
      </c>
      <c r="C24" s="25" t="s">
        <v>62</v>
      </c>
      <c r="D24" s="31" t="s">
        <v>63</v>
      </c>
      <c r="E24" s="31" t="s">
        <v>64</v>
      </c>
      <c r="F24" s="25" t="s">
        <v>10</v>
      </c>
    </row>
    <row r="25" spans="1:6" ht="31.5" customHeight="1">
      <c r="A25" s="24">
        <v>24</v>
      </c>
      <c r="B25" s="25" t="s">
        <v>58</v>
      </c>
      <c r="C25" s="25" t="s">
        <v>65</v>
      </c>
      <c r="D25" s="31" t="s">
        <v>66</v>
      </c>
      <c r="E25" s="31" t="s">
        <v>64</v>
      </c>
      <c r="F25" s="25" t="s">
        <v>10</v>
      </c>
    </row>
    <row r="26" spans="1:6" ht="31.5" customHeight="1">
      <c r="A26" s="24">
        <v>25</v>
      </c>
      <c r="B26" s="25" t="s">
        <v>58</v>
      </c>
      <c r="C26" s="25" t="s">
        <v>67</v>
      </c>
      <c r="D26" s="31" t="s">
        <v>68</v>
      </c>
      <c r="E26" s="31" t="s">
        <v>64</v>
      </c>
      <c r="F26" s="25" t="s">
        <v>10</v>
      </c>
    </row>
    <row r="27" spans="1:6" ht="31.5" customHeight="1">
      <c r="A27" s="24">
        <v>26</v>
      </c>
      <c r="B27" s="25" t="s">
        <v>58</v>
      </c>
      <c r="C27" s="25" t="s">
        <v>69</v>
      </c>
      <c r="D27" s="31" t="s">
        <v>70</v>
      </c>
      <c r="E27" s="31" t="s">
        <v>64</v>
      </c>
      <c r="F27" s="25" t="s">
        <v>10</v>
      </c>
    </row>
    <row r="28" spans="1:6" ht="31.5" customHeight="1">
      <c r="A28" s="24">
        <v>27</v>
      </c>
      <c r="B28" s="25" t="s">
        <v>71</v>
      </c>
      <c r="C28" s="25" t="s">
        <v>72</v>
      </c>
      <c r="D28" s="31" t="s">
        <v>73</v>
      </c>
      <c r="E28" s="29" t="s">
        <v>9</v>
      </c>
      <c r="F28" s="25" t="s">
        <v>10</v>
      </c>
    </row>
    <row r="29" spans="1:6" ht="31.5" customHeight="1">
      <c r="A29" s="24">
        <v>28</v>
      </c>
      <c r="B29" s="25" t="s">
        <v>71</v>
      </c>
      <c r="C29" s="25" t="s">
        <v>74</v>
      </c>
      <c r="D29" s="31" t="s">
        <v>75</v>
      </c>
      <c r="E29" s="29" t="s">
        <v>76</v>
      </c>
      <c r="F29" s="25" t="s">
        <v>10</v>
      </c>
    </row>
    <row r="30" spans="1:6" ht="31.5" customHeight="1">
      <c r="A30" s="24">
        <v>29</v>
      </c>
      <c r="B30" s="25" t="s">
        <v>71</v>
      </c>
      <c r="C30" s="25" t="s">
        <v>77</v>
      </c>
      <c r="D30" s="31" t="s">
        <v>78</v>
      </c>
      <c r="E30" s="29" t="s">
        <v>9</v>
      </c>
      <c r="F30" s="25" t="s">
        <v>10</v>
      </c>
    </row>
    <row r="31" spans="1:6" ht="31.5" customHeight="1">
      <c r="A31" s="24">
        <v>30</v>
      </c>
      <c r="B31" s="25" t="s">
        <v>71</v>
      </c>
      <c r="C31" s="25" t="s">
        <v>79</v>
      </c>
      <c r="D31" s="31" t="s">
        <v>80</v>
      </c>
      <c r="E31" s="29" t="s">
        <v>9</v>
      </c>
      <c r="F31" s="25" t="s">
        <v>10</v>
      </c>
    </row>
    <row r="32" spans="1:6" ht="31.5" customHeight="1">
      <c r="A32" s="24">
        <v>31</v>
      </c>
      <c r="B32" s="25" t="s">
        <v>81</v>
      </c>
      <c r="C32" s="25" t="s">
        <v>82</v>
      </c>
      <c r="D32" s="31" t="s">
        <v>83</v>
      </c>
      <c r="E32" s="29" t="s">
        <v>84</v>
      </c>
      <c r="F32" s="25" t="s">
        <v>10</v>
      </c>
    </row>
    <row r="33" spans="1:6" ht="31.5" customHeight="1">
      <c r="A33" s="24">
        <v>32</v>
      </c>
      <c r="B33" s="25" t="s">
        <v>81</v>
      </c>
      <c r="C33" s="25" t="s">
        <v>85</v>
      </c>
      <c r="D33" s="31" t="s">
        <v>86</v>
      </c>
      <c r="E33" s="29" t="s">
        <v>84</v>
      </c>
      <c r="F33" s="25" t="s">
        <v>10</v>
      </c>
    </row>
    <row r="34" spans="1:6" ht="31.5" customHeight="1">
      <c r="A34" s="24">
        <v>33</v>
      </c>
      <c r="B34" s="25" t="s">
        <v>81</v>
      </c>
      <c r="C34" s="25" t="s">
        <v>87</v>
      </c>
      <c r="D34" s="31" t="s">
        <v>88</v>
      </c>
      <c r="E34" s="29" t="s">
        <v>76</v>
      </c>
      <c r="F34" s="25" t="s">
        <v>10</v>
      </c>
    </row>
    <row r="35" spans="1:6" ht="31.5" customHeight="1">
      <c r="A35" s="24">
        <v>34</v>
      </c>
      <c r="B35" s="25" t="s">
        <v>71</v>
      </c>
      <c r="C35" s="25" t="s">
        <v>89</v>
      </c>
      <c r="D35" s="31" t="s">
        <v>90</v>
      </c>
      <c r="E35" s="29" t="s">
        <v>91</v>
      </c>
      <c r="F35" s="25" t="s">
        <v>10</v>
      </c>
    </row>
    <row r="36" spans="1:6" ht="31.5" customHeight="1">
      <c r="A36" s="24">
        <v>35</v>
      </c>
      <c r="B36" s="25" t="s">
        <v>71</v>
      </c>
      <c r="C36" s="25" t="s">
        <v>92</v>
      </c>
      <c r="D36" s="31" t="s">
        <v>93</v>
      </c>
      <c r="E36" s="29" t="s">
        <v>91</v>
      </c>
      <c r="F36" s="25" t="s">
        <v>10</v>
      </c>
    </row>
    <row r="37" spans="1:6" ht="31.5" customHeight="1">
      <c r="A37" s="24">
        <v>36</v>
      </c>
      <c r="B37" s="25" t="s">
        <v>71</v>
      </c>
      <c r="C37" s="25" t="s">
        <v>94</v>
      </c>
      <c r="D37" s="31" t="s">
        <v>95</v>
      </c>
      <c r="E37" s="29" t="s">
        <v>91</v>
      </c>
      <c r="F37" s="25" t="s">
        <v>10</v>
      </c>
    </row>
    <row r="38" spans="1:6" ht="31.5" customHeight="1">
      <c r="A38" s="24">
        <v>37</v>
      </c>
      <c r="B38" s="25" t="s">
        <v>71</v>
      </c>
      <c r="C38" s="25" t="s">
        <v>96</v>
      </c>
      <c r="D38" s="31" t="s">
        <v>97</v>
      </c>
      <c r="E38" s="29" t="s">
        <v>91</v>
      </c>
      <c r="F38" s="25" t="s">
        <v>10</v>
      </c>
    </row>
    <row r="39" spans="1:6" ht="31.5" customHeight="1">
      <c r="A39" s="24">
        <v>38</v>
      </c>
      <c r="B39" s="25" t="s">
        <v>71</v>
      </c>
      <c r="C39" s="25" t="s">
        <v>98</v>
      </c>
      <c r="D39" s="31" t="s">
        <v>99</v>
      </c>
      <c r="E39" s="29" t="s">
        <v>91</v>
      </c>
      <c r="F39" s="25" t="s">
        <v>10</v>
      </c>
    </row>
    <row r="40" spans="1:6" ht="31.5" customHeight="1">
      <c r="A40" s="24">
        <v>39</v>
      </c>
      <c r="B40" s="25" t="s">
        <v>71</v>
      </c>
      <c r="C40" s="25" t="s">
        <v>100</v>
      </c>
      <c r="D40" s="31" t="s">
        <v>101</v>
      </c>
      <c r="E40" s="29" t="s">
        <v>91</v>
      </c>
      <c r="F40" s="25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/>
  </sheetViews>
  <sheetFormatPr baseColWidth="10" defaultColWidth="8.6640625" defaultRowHeight="15"/>
  <cols>
    <col min="1" max="5" width="20" customWidth="1"/>
  </cols>
  <sheetData>
    <row r="1" spans="1:5" ht="32">
      <c r="A1" s="2" t="s">
        <v>1</v>
      </c>
      <c r="B1" s="2" t="s">
        <v>102</v>
      </c>
      <c r="C1" s="2" t="s">
        <v>103</v>
      </c>
      <c r="D1" s="2" t="s">
        <v>104</v>
      </c>
      <c r="E1" s="2" t="s">
        <v>105</v>
      </c>
    </row>
    <row r="2" spans="1:5">
      <c r="A2" s="3" t="s">
        <v>6</v>
      </c>
      <c r="B2" s="4">
        <v>26</v>
      </c>
      <c r="C2" s="4">
        <v>17</v>
      </c>
      <c r="D2" s="4">
        <v>19</v>
      </c>
      <c r="E2" s="4">
        <v>28</v>
      </c>
    </row>
    <row r="3" spans="1:5">
      <c r="A3" s="3" t="s">
        <v>23</v>
      </c>
      <c r="B3" s="4">
        <v>23</v>
      </c>
      <c r="C3" s="4">
        <v>15</v>
      </c>
      <c r="D3" s="4">
        <v>23</v>
      </c>
      <c r="E3" s="4">
        <v>20</v>
      </c>
    </row>
    <row r="4" spans="1:5">
      <c r="A4" s="3" t="s">
        <v>106</v>
      </c>
      <c r="B4" s="4">
        <v>8</v>
      </c>
      <c r="C4" s="4">
        <v>19</v>
      </c>
      <c r="D4" s="4">
        <v>15</v>
      </c>
      <c r="E4" s="4">
        <v>8</v>
      </c>
    </row>
    <row r="5" spans="1:5">
      <c r="A5" s="3" t="s">
        <v>47</v>
      </c>
      <c r="B5" s="4">
        <v>10</v>
      </c>
      <c r="C5" s="4">
        <v>12</v>
      </c>
      <c r="D5" s="4">
        <v>8</v>
      </c>
      <c r="E5" s="4">
        <v>11</v>
      </c>
    </row>
    <row r="6" spans="1:5">
      <c r="A6" s="3" t="s">
        <v>58</v>
      </c>
      <c r="B6" s="4">
        <v>7</v>
      </c>
      <c r="C6" s="4">
        <v>12</v>
      </c>
      <c r="D6" s="4">
        <v>6</v>
      </c>
      <c r="E6" s="4">
        <v>9</v>
      </c>
    </row>
    <row r="7" spans="1:5">
      <c r="A7" s="3" t="s">
        <v>71</v>
      </c>
      <c r="B7" s="4">
        <v>13</v>
      </c>
      <c r="C7" s="4">
        <v>17</v>
      </c>
      <c r="D7" s="4">
        <v>11</v>
      </c>
      <c r="E7" s="4">
        <v>12</v>
      </c>
    </row>
    <row r="8" spans="1:5">
      <c r="A8" s="3" t="s">
        <v>81</v>
      </c>
      <c r="B8" s="4">
        <v>13</v>
      </c>
      <c r="C8" s="4">
        <v>8</v>
      </c>
      <c r="D8" s="4">
        <v>18</v>
      </c>
      <c r="E8" s="4">
        <v>12</v>
      </c>
    </row>
    <row r="9" spans="1:5">
      <c r="A9" s="5" t="s">
        <v>107</v>
      </c>
      <c r="B9" s="6">
        <f>SUM(B2:B8)</f>
        <v>100</v>
      </c>
      <c r="C9" s="6">
        <f>SUM(C2:C8)</f>
        <v>100</v>
      </c>
      <c r="D9" s="6">
        <f>SUM(D2:D8)</f>
        <v>100</v>
      </c>
      <c r="E9" s="6">
        <f>SUM(E2:E8)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5"/>
  <cols>
    <col min="1" max="1" width="5" customWidth="1"/>
    <col min="2" max="2" width="16" customWidth="1"/>
    <col min="3" max="3" width="22" customWidth="1"/>
    <col min="4" max="7" width="20" customWidth="1"/>
  </cols>
  <sheetData>
    <row r="1" spans="1:7" ht="32">
      <c r="A1" s="1" t="s">
        <v>0</v>
      </c>
      <c r="B1" s="2" t="s">
        <v>1</v>
      </c>
      <c r="C1" s="2" t="s">
        <v>2</v>
      </c>
      <c r="D1" s="2" t="s">
        <v>102</v>
      </c>
      <c r="E1" s="2" t="s">
        <v>103</v>
      </c>
      <c r="F1" s="2" t="s">
        <v>104</v>
      </c>
      <c r="G1" s="2" t="s">
        <v>105</v>
      </c>
    </row>
    <row r="2" spans="1:7">
      <c r="A2" s="7">
        <v>1</v>
      </c>
      <c r="B2" s="8" t="s">
        <v>6</v>
      </c>
      <c r="C2" s="9" t="s">
        <v>7</v>
      </c>
      <c r="D2" s="10">
        <v>9</v>
      </c>
      <c r="E2" s="10">
        <v>8</v>
      </c>
      <c r="F2" s="10">
        <v>8</v>
      </c>
      <c r="G2" s="10">
        <v>6</v>
      </c>
    </row>
    <row r="3" spans="1:7">
      <c r="A3" s="7">
        <v>2</v>
      </c>
      <c r="B3" s="8" t="s">
        <v>6</v>
      </c>
      <c r="C3" s="9" t="s">
        <v>11</v>
      </c>
      <c r="D3" s="10">
        <v>10</v>
      </c>
      <c r="E3" s="10">
        <v>6</v>
      </c>
      <c r="F3" s="10">
        <v>6</v>
      </c>
      <c r="G3" s="10">
        <v>5</v>
      </c>
    </row>
    <row r="4" spans="1:7">
      <c r="A4" s="7">
        <v>3</v>
      </c>
      <c r="B4" s="8" t="s">
        <v>6</v>
      </c>
      <c r="C4" s="9" t="s">
        <v>14</v>
      </c>
      <c r="D4" s="10">
        <v>9</v>
      </c>
      <c r="E4" s="10">
        <v>7</v>
      </c>
      <c r="F4" s="10">
        <v>8</v>
      </c>
      <c r="G4" s="10">
        <v>5</v>
      </c>
    </row>
    <row r="5" spans="1:7">
      <c r="A5" s="7">
        <v>4</v>
      </c>
      <c r="B5" s="8" t="s">
        <v>6</v>
      </c>
      <c r="C5" s="9" t="s">
        <v>16</v>
      </c>
      <c r="D5" s="10">
        <v>8</v>
      </c>
      <c r="E5" s="10">
        <v>6</v>
      </c>
      <c r="F5" s="10">
        <v>7</v>
      </c>
      <c r="G5" s="10">
        <v>4</v>
      </c>
    </row>
    <row r="6" spans="1:7">
      <c r="A6" s="7">
        <v>5</v>
      </c>
      <c r="B6" s="8" t="s">
        <v>6</v>
      </c>
      <c r="C6" s="9" t="s">
        <v>18</v>
      </c>
      <c r="D6" s="10">
        <v>7</v>
      </c>
      <c r="E6" s="10">
        <v>5</v>
      </c>
      <c r="F6" s="10">
        <v>6</v>
      </c>
      <c r="G6" s="10">
        <v>3</v>
      </c>
    </row>
    <row r="7" spans="1:7">
      <c r="A7" s="7">
        <v>6</v>
      </c>
      <c r="B7" s="8" t="s">
        <v>6</v>
      </c>
      <c r="C7" s="9" t="s">
        <v>20</v>
      </c>
      <c r="D7" s="10">
        <v>7</v>
      </c>
      <c r="E7" s="10">
        <v>0</v>
      </c>
      <c r="F7" s="10">
        <v>0</v>
      </c>
      <c r="G7" s="10">
        <v>0</v>
      </c>
    </row>
    <row r="8" spans="1:7">
      <c r="A8" s="7">
        <v>7</v>
      </c>
      <c r="B8" s="8" t="s">
        <v>23</v>
      </c>
      <c r="C8" s="9" t="s">
        <v>24</v>
      </c>
      <c r="D8" s="10">
        <v>6</v>
      </c>
      <c r="E8" s="10">
        <v>8</v>
      </c>
      <c r="F8" s="10">
        <v>9</v>
      </c>
      <c r="G8" s="10">
        <v>5</v>
      </c>
    </row>
    <row r="9" spans="1:7">
      <c r="A9" s="7">
        <v>8</v>
      </c>
      <c r="B9" s="8" t="s">
        <v>23</v>
      </c>
      <c r="C9" s="9" t="s">
        <v>26</v>
      </c>
      <c r="D9" s="10">
        <v>9</v>
      </c>
      <c r="E9" s="10">
        <v>8</v>
      </c>
      <c r="F9" s="10">
        <v>9</v>
      </c>
      <c r="G9" s="10">
        <v>6</v>
      </c>
    </row>
    <row r="10" spans="1:7">
      <c r="A10" s="7">
        <v>9</v>
      </c>
      <c r="B10" s="8" t="s">
        <v>23</v>
      </c>
      <c r="C10" s="9" t="s">
        <v>28</v>
      </c>
      <c r="D10" s="10">
        <v>8</v>
      </c>
      <c r="E10" s="10">
        <v>7</v>
      </c>
      <c r="F10" s="10">
        <v>8</v>
      </c>
      <c r="G10" s="10">
        <v>5</v>
      </c>
    </row>
    <row r="11" spans="1:7">
      <c r="A11" s="7">
        <v>10</v>
      </c>
      <c r="B11" s="8" t="s">
        <v>23</v>
      </c>
      <c r="C11" s="9" t="s">
        <v>30</v>
      </c>
      <c r="D11" s="10">
        <v>6</v>
      </c>
      <c r="E11" s="10">
        <v>6</v>
      </c>
      <c r="F11" s="10">
        <v>6</v>
      </c>
      <c r="G11" s="10">
        <v>4</v>
      </c>
    </row>
    <row r="12" spans="1:7">
      <c r="A12" s="7">
        <v>11</v>
      </c>
      <c r="B12" s="8" t="s">
        <v>23</v>
      </c>
      <c r="C12" s="9" t="s">
        <v>32</v>
      </c>
      <c r="D12" s="10">
        <v>6</v>
      </c>
      <c r="E12" s="10">
        <v>6</v>
      </c>
      <c r="F12" s="10">
        <v>7</v>
      </c>
      <c r="G12" s="10">
        <v>4</v>
      </c>
    </row>
    <row r="13" spans="1:7">
      <c r="A13" s="7">
        <v>12</v>
      </c>
      <c r="B13" s="8" t="s">
        <v>23</v>
      </c>
      <c r="C13" s="9" t="s">
        <v>34</v>
      </c>
      <c r="D13" s="10">
        <v>0</v>
      </c>
      <c r="E13" s="10">
        <v>0</v>
      </c>
      <c r="F13" s="10">
        <v>8</v>
      </c>
      <c r="G13" s="10">
        <v>0</v>
      </c>
    </row>
    <row r="14" spans="1:7">
      <c r="A14" s="7">
        <v>13</v>
      </c>
      <c r="B14" s="8" t="s">
        <v>108</v>
      </c>
      <c r="C14" s="9" t="s">
        <v>38</v>
      </c>
      <c r="D14" s="10">
        <v>7</v>
      </c>
      <c r="E14" s="10">
        <v>9</v>
      </c>
      <c r="F14" s="10">
        <v>7</v>
      </c>
      <c r="G14" s="10">
        <v>5</v>
      </c>
    </row>
    <row r="15" spans="1:7">
      <c r="A15" s="7">
        <v>14</v>
      </c>
      <c r="B15" s="8" t="s">
        <v>108</v>
      </c>
      <c r="C15" s="9" t="s">
        <v>40</v>
      </c>
      <c r="D15" s="10">
        <v>6</v>
      </c>
      <c r="E15" s="10">
        <v>9</v>
      </c>
      <c r="F15" s="10">
        <v>8</v>
      </c>
      <c r="G15" s="10">
        <v>5</v>
      </c>
    </row>
    <row r="16" spans="1:7">
      <c r="A16" s="7">
        <v>15</v>
      </c>
      <c r="B16" s="8" t="s">
        <v>108</v>
      </c>
      <c r="C16" s="9" t="s">
        <v>42</v>
      </c>
      <c r="D16" s="10">
        <v>0</v>
      </c>
      <c r="E16" s="10">
        <v>9</v>
      </c>
      <c r="F16" s="10">
        <v>0</v>
      </c>
      <c r="G16" s="10">
        <v>0</v>
      </c>
    </row>
    <row r="17" spans="1:7">
      <c r="A17" s="7">
        <v>16</v>
      </c>
      <c r="B17" s="8" t="s">
        <v>108</v>
      </c>
      <c r="C17" s="9" t="s">
        <v>45</v>
      </c>
      <c r="D17" s="10">
        <v>0</v>
      </c>
      <c r="E17" s="10">
        <v>0</v>
      </c>
      <c r="F17" s="10">
        <v>9</v>
      </c>
      <c r="G17" s="10">
        <v>0</v>
      </c>
    </row>
    <row r="18" spans="1:7">
      <c r="A18" s="7">
        <v>17</v>
      </c>
      <c r="B18" s="8" t="s">
        <v>47</v>
      </c>
      <c r="C18" s="9" t="s">
        <v>48</v>
      </c>
      <c r="D18" s="10">
        <v>4</v>
      </c>
      <c r="E18" s="10">
        <v>4</v>
      </c>
      <c r="F18" s="10">
        <v>4</v>
      </c>
      <c r="G18" s="10">
        <v>3</v>
      </c>
    </row>
    <row r="19" spans="1:7">
      <c r="A19" s="7">
        <v>18</v>
      </c>
      <c r="B19" s="8" t="s">
        <v>47</v>
      </c>
      <c r="C19" s="9" t="s">
        <v>50</v>
      </c>
      <c r="D19" s="10">
        <v>6</v>
      </c>
      <c r="E19" s="10">
        <v>8</v>
      </c>
      <c r="F19" s="10">
        <v>5</v>
      </c>
      <c r="G19" s="10">
        <v>4</v>
      </c>
    </row>
    <row r="20" spans="1:7">
      <c r="A20" s="7">
        <v>19</v>
      </c>
      <c r="B20" s="8" t="s">
        <v>47</v>
      </c>
      <c r="C20" s="9" t="s">
        <v>52</v>
      </c>
      <c r="D20" s="10">
        <v>4</v>
      </c>
      <c r="E20" s="10">
        <v>5</v>
      </c>
      <c r="F20" s="10">
        <v>4</v>
      </c>
      <c r="G20" s="10">
        <v>3</v>
      </c>
    </row>
    <row r="21" spans="1:7">
      <c r="A21" s="7">
        <v>20</v>
      </c>
      <c r="B21" s="8" t="s">
        <v>47</v>
      </c>
      <c r="C21" s="9" t="s">
        <v>54</v>
      </c>
      <c r="D21" s="10">
        <v>3</v>
      </c>
      <c r="E21" s="10">
        <v>4</v>
      </c>
      <c r="F21" s="10">
        <v>3</v>
      </c>
      <c r="G21" s="10">
        <v>3</v>
      </c>
    </row>
    <row r="22" spans="1:7">
      <c r="A22" s="7">
        <v>21</v>
      </c>
      <c r="B22" s="8" t="s">
        <v>47</v>
      </c>
      <c r="C22" s="9" t="s">
        <v>56</v>
      </c>
      <c r="D22" s="10">
        <v>5</v>
      </c>
      <c r="E22" s="10">
        <v>6</v>
      </c>
      <c r="F22" s="10">
        <v>5</v>
      </c>
      <c r="G22" s="10">
        <v>3</v>
      </c>
    </row>
    <row r="23" spans="1:7">
      <c r="A23" s="7">
        <v>22</v>
      </c>
      <c r="B23" s="8" t="s">
        <v>58</v>
      </c>
      <c r="C23" s="9" t="s">
        <v>59</v>
      </c>
      <c r="D23" s="10">
        <v>4</v>
      </c>
      <c r="E23" s="10">
        <v>6</v>
      </c>
      <c r="F23" s="10">
        <v>5</v>
      </c>
      <c r="G23" s="10">
        <v>4</v>
      </c>
    </row>
    <row r="24" spans="1:7">
      <c r="A24" s="7">
        <v>23</v>
      </c>
      <c r="B24" s="8" t="s">
        <v>58</v>
      </c>
      <c r="C24" s="9" t="s">
        <v>62</v>
      </c>
      <c r="D24" s="10">
        <v>4</v>
      </c>
      <c r="E24" s="10">
        <v>5</v>
      </c>
      <c r="F24" s="10">
        <v>5</v>
      </c>
      <c r="G24" s="10">
        <v>4</v>
      </c>
    </row>
    <row r="25" spans="1:7">
      <c r="A25" s="7">
        <v>24</v>
      </c>
      <c r="B25" s="8" t="s">
        <v>58</v>
      </c>
      <c r="C25" s="9" t="s">
        <v>65</v>
      </c>
      <c r="D25" s="10">
        <v>3</v>
      </c>
      <c r="E25" s="10">
        <v>5</v>
      </c>
      <c r="F25" s="10">
        <v>4</v>
      </c>
      <c r="G25" s="10">
        <v>3</v>
      </c>
    </row>
    <row r="26" spans="1:7">
      <c r="A26" s="7">
        <v>25</v>
      </c>
      <c r="B26" s="8" t="s">
        <v>58</v>
      </c>
      <c r="C26" s="9" t="s">
        <v>67</v>
      </c>
      <c r="D26" s="10">
        <v>3</v>
      </c>
      <c r="E26" s="10">
        <v>5</v>
      </c>
      <c r="F26" s="10">
        <v>4</v>
      </c>
      <c r="G26" s="10">
        <v>3</v>
      </c>
    </row>
    <row r="27" spans="1:7">
      <c r="A27" s="7">
        <v>26</v>
      </c>
      <c r="B27" s="8" t="s">
        <v>58</v>
      </c>
      <c r="C27" s="9" t="s">
        <v>69</v>
      </c>
      <c r="D27" s="10">
        <v>4</v>
      </c>
      <c r="E27" s="10">
        <v>7</v>
      </c>
      <c r="F27" s="10">
        <v>5</v>
      </c>
      <c r="G27" s="10">
        <v>3</v>
      </c>
    </row>
    <row r="28" spans="1:7">
      <c r="A28" s="7">
        <v>27</v>
      </c>
      <c r="B28" s="8" t="s">
        <v>71</v>
      </c>
      <c r="C28" s="9" t="s">
        <v>72</v>
      </c>
      <c r="D28" s="10">
        <v>6</v>
      </c>
      <c r="E28" s="10">
        <v>6</v>
      </c>
      <c r="F28" s="10">
        <v>5</v>
      </c>
      <c r="G28" s="10">
        <v>3</v>
      </c>
    </row>
    <row r="29" spans="1:7">
      <c r="A29" s="7">
        <v>28</v>
      </c>
      <c r="B29" s="8" t="s">
        <v>71</v>
      </c>
      <c r="C29" s="9" t="s">
        <v>74</v>
      </c>
      <c r="D29" s="10">
        <v>5</v>
      </c>
      <c r="E29" s="10">
        <v>6</v>
      </c>
      <c r="F29" s="10">
        <v>6</v>
      </c>
      <c r="G29" s="10">
        <v>3</v>
      </c>
    </row>
    <row r="30" spans="1:7">
      <c r="A30" s="7">
        <v>29</v>
      </c>
      <c r="B30" s="8" t="s">
        <v>71</v>
      </c>
      <c r="C30" s="9" t="s">
        <v>77</v>
      </c>
      <c r="D30" s="10">
        <v>6</v>
      </c>
      <c r="E30" s="10">
        <v>7</v>
      </c>
      <c r="F30" s="10">
        <v>6</v>
      </c>
      <c r="G30" s="10">
        <v>3</v>
      </c>
    </row>
    <row r="31" spans="1:7">
      <c r="A31" s="7">
        <v>30</v>
      </c>
      <c r="B31" s="8" t="s">
        <v>71</v>
      </c>
      <c r="C31" s="9" t="s">
        <v>79</v>
      </c>
      <c r="D31" s="10">
        <v>5</v>
      </c>
      <c r="E31" s="10">
        <v>6</v>
      </c>
      <c r="F31" s="10">
        <v>5</v>
      </c>
      <c r="G31" s="10">
        <v>3</v>
      </c>
    </row>
    <row r="32" spans="1:7">
      <c r="A32" s="7">
        <v>31</v>
      </c>
      <c r="B32" s="8" t="s">
        <v>81</v>
      </c>
      <c r="C32" s="9" t="s">
        <v>82</v>
      </c>
      <c r="D32" s="10">
        <v>5</v>
      </c>
      <c r="E32" s="10">
        <v>6</v>
      </c>
      <c r="F32" s="10">
        <v>8</v>
      </c>
      <c r="G32" s="10">
        <v>4</v>
      </c>
    </row>
    <row r="33" spans="1:7">
      <c r="A33" s="7">
        <v>32</v>
      </c>
      <c r="B33" s="8" t="s">
        <v>81</v>
      </c>
      <c r="C33" s="9" t="s">
        <v>85</v>
      </c>
      <c r="D33" s="10">
        <v>5</v>
      </c>
      <c r="E33" s="10">
        <v>6</v>
      </c>
      <c r="F33" s="10">
        <v>7</v>
      </c>
      <c r="G33" s="10">
        <v>4</v>
      </c>
    </row>
    <row r="34" spans="1:7">
      <c r="A34" s="7">
        <v>33</v>
      </c>
      <c r="B34" s="8" t="s">
        <v>81</v>
      </c>
      <c r="C34" s="9" t="s">
        <v>87</v>
      </c>
      <c r="D34" s="10">
        <v>4</v>
      </c>
      <c r="E34" s="10">
        <v>5</v>
      </c>
      <c r="F34" s="10">
        <v>6</v>
      </c>
      <c r="G34" s="10">
        <v>3</v>
      </c>
    </row>
    <row r="35" spans="1:7">
      <c r="A35" s="7">
        <v>34</v>
      </c>
      <c r="B35" s="8" t="s">
        <v>71</v>
      </c>
      <c r="C35" s="9" t="s">
        <v>89</v>
      </c>
      <c r="D35" s="10">
        <v>5</v>
      </c>
      <c r="E35" s="10">
        <v>6</v>
      </c>
      <c r="F35" s="10">
        <v>5</v>
      </c>
      <c r="G35" s="10">
        <v>3</v>
      </c>
    </row>
    <row r="36" spans="1:7">
      <c r="A36" s="7">
        <v>35</v>
      </c>
      <c r="B36" s="8" t="s">
        <v>71</v>
      </c>
      <c r="C36" s="9" t="s">
        <v>92</v>
      </c>
      <c r="D36" s="10">
        <v>5</v>
      </c>
      <c r="E36" s="10">
        <v>6</v>
      </c>
      <c r="F36" s="10">
        <v>6</v>
      </c>
      <c r="G36" s="10">
        <v>3</v>
      </c>
    </row>
    <row r="37" spans="1:7">
      <c r="A37" s="7">
        <v>36</v>
      </c>
      <c r="B37" s="8" t="s">
        <v>71</v>
      </c>
      <c r="C37" s="9" t="s">
        <v>94</v>
      </c>
      <c r="D37" s="10">
        <v>4</v>
      </c>
      <c r="E37" s="10">
        <v>5</v>
      </c>
      <c r="F37" s="10">
        <v>5</v>
      </c>
      <c r="G37" s="10">
        <v>2</v>
      </c>
    </row>
    <row r="38" spans="1:7">
      <c r="A38" s="7">
        <v>37</v>
      </c>
      <c r="B38" s="8" t="s">
        <v>71</v>
      </c>
      <c r="C38" s="9" t="s">
        <v>96</v>
      </c>
      <c r="D38" s="10">
        <v>6</v>
      </c>
      <c r="E38" s="10">
        <v>6</v>
      </c>
      <c r="F38" s="10">
        <v>6</v>
      </c>
      <c r="G38" s="10">
        <v>3</v>
      </c>
    </row>
    <row r="39" spans="1:7">
      <c r="A39" s="7">
        <v>38</v>
      </c>
      <c r="B39" s="8" t="s">
        <v>71</v>
      </c>
      <c r="C39" s="9" t="s">
        <v>98</v>
      </c>
      <c r="D39" s="10">
        <v>7</v>
      </c>
      <c r="E39" s="10">
        <v>4</v>
      </c>
      <c r="F39" s="10">
        <v>5</v>
      </c>
      <c r="G39" s="10">
        <v>2</v>
      </c>
    </row>
    <row r="40" spans="1:7">
      <c r="A40" s="7">
        <v>39</v>
      </c>
      <c r="B40" s="8" t="s">
        <v>71</v>
      </c>
      <c r="C40" s="9" t="s">
        <v>100</v>
      </c>
      <c r="D40" s="10">
        <v>4</v>
      </c>
      <c r="E40" s="10">
        <v>5</v>
      </c>
      <c r="F40" s="10">
        <v>5</v>
      </c>
      <c r="G40" s="10">
        <v>3</v>
      </c>
    </row>
    <row r="42" spans="1:7">
      <c r="A42" s="11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zoomScaleNormal="100" workbookViewId="0">
      <pane ySplit="5" topLeftCell="A14" activePane="bottomLeft" state="frozen"/>
      <selection pane="bottomLeft" activeCell="K33" sqref="K33"/>
    </sheetView>
  </sheetViews>
  <sheetFormatPr baseColWidth="10" defaultColWidth="8.6640625" defaultRowHeight="15"/>
  <cols>
    <col min="1" max="1" width="5" customWidth="1"/>
    <col min="2" max="2" width="16" customWidth="1"/>
    <col min="3" max="3" width="24" customWidth="1"/>
    <col min="4" max="6" width="14" customWidth="1"/>
  </cols>
  <sheetData>
    <row r="1" spans="1:6" ht="16">
      <c r="A1" s="12" t="s">
        <v>110</v>
      </c>
    </row>
    <row r="2" spans="1:6">
      <c r="B2" s="5" t="s">
        <v>111</v>
      </c>
      <c r="C2" s="13" t="s">
        <v>112</v>
      </c>
    </row>
    <row r="4" spans="1:6" ht="16">
      <c r="A4" s="12" t="s">
        <v>113</v>
      </c>
    </row>
    <row r="5" spans="1:6" ht="48">
      <c r="A5" s="1" t="s">
        <v>0</v>
      </c>
      <c r="B5" s="2" t="s">
        <v>1</v>
      </c>
      <c r="C5" s="2" t="s">
        <v>2</v>
      </c>
      <c r="D5" s="2" t="s">
        <v>114</v>
      </c>
      <c r="E5" s="2" t="s">
        <v>115</v>
      </c>
      <c r="F5" s="2" t="s">
        <v>116</v>
      </c>
    </row>
    <row r="6" spans="1:6">
      <c r="A6" s="7">
        <v>1</v>
      </c>
      <c r="B6" s="14" t="s">
        <v>6</v>
      </c>
      <c r="C6" s="9" t="s">
        <v>7</v>
      </c>
      <c r="D6" s="15">
        <f>INDEX(항목_내부가중치!$D$2:$G$2,MATCH($C$2,항목_내부가중치!$D$1:$G$1,0))</f>
        <v>9</v>
      </c>
      <c r="E6" s="16">
        <v>0</v>
      </c>
      <c r="F6" s="17">
        <f t="shared" ref="F6:F44" si="0">D6*E6</f>
        <v>0</v>
      </c>
    </row>
    <row r="7" spans="1:6">
      <c r="A7" s="7">
        <v>2</v>
      </c>
      <c r="B7" s="14" t="s">
        <v>6</v>
      </c>
      <c r="C7" s="9" t="s">
        <v>11</v>
      </c>
      <c r="D7" s="15">
        <f>INDEX(항목_내부가중치!$D$3:$G$3,MATCH($C$2,항목_내부가중치!$D$1:$G$1,0))</f>
        <v>10</v>
      </c>
      <c r="E7" s="16">
        <v>0</v>
      </c>
      <c r="F7" s="17">
        <f t="shared" si="0"/>
        <v>0</v>
      </c>
    </row>
    <row r="8" spans="1:6">
      <c r="A8" s="7">
        <v>3</v>
      </c>
      <c r="B8" s="14" t="s">
        <v>6</v>
      </c>
      <c r="C8" s="9" t="s">
        <v>14</v>
      </c>
      <c r="D8" s="15">
        <f>INDEX(항목_내부가중치!$D$4:$G$4,MATCH($C$2,항목_내부가중치!$D$1:$G$1,0))</f>
        <v>9</v>
      </c>
      <c r="E8" s="16">
        <v>0</v>
      </c>
      <c r="F8" s="17">
        <f t="shared" si="0"/>
        <v>0</v>
      </c>
    </row>
    <row r="9" spans="1:6">
      <c r="A9" s="7">
        <v>4</v>
      </c>
      <c r="B9" s="14" t="s">
        <v>6</v>
      </c>
      <c r="C9" s="9" t="s">
        <v>16</v>
      </c>
      <c r="D9" s="15">
        <f>INDEX(항목_내부가중치!$D$5:$G$5,MATCH($C$2,항목_내부가중치!$D$1:$G$1,0))</f>
        <v>8</v>
      </c>
      <c r="E9" s="16">
        <v>0</v>
      </c>
      <c r="F9" s="17">
        <f t="shared" si="0"/>
        <v>0</v>
      </c>
    </row>
    <row r="10" spans="1:6">
      <c r="A10" s="7">
        <v>5</v>
      </c>
      <c r="B10" s="14" t="s">
        <v>6</v>
      </c>
      <c r="C10" s="9" t="s">
        <v>18</v>
      </c>
      <c r="D10" s="15">
        <f>INDEX(항목_내부가중치!$D$6:$G$6,MATCH($C$2,항목_내부가중치!$D$1:$G$1,0))</f>
        <v>7</v>
      </c>
      <c r="E10" s="16">
        <v>0</v>
      </c>
      <c r="F10" s="17">
        <f t="shared" si="0"/>
        <v>0</v>
      </c>
    </row>
    <row r="11" spans="1:6">
      <c r="A11" s="7">
        <v>6</v>
      </c>
      <c r="B11" s="14" t="s">
        <v>6</v>
      </c>
      <c r="C11" s="9" t="s">
        <v>20</v>
      </c>
      <c r="D11" s="15">
        <f>INDEX(항목_내부가중치!$D$7:$G$7,MATCH($C$2,항목_내부가중치!$D$1:$G$1,0))</f>
        <v>7</v>
      </c>
      <c r="E11" s="16">
        <v>0</v>
      </c>
      <c r="F11" s="17">
        <f t="shared" si="0"/>
        <v>0</v>
      </c>
    </row>
    <row r="12" spans="1:6">
      <c r="A12" s="7">
        <v>7</v>
      </c>
      <c r="B12" s="14" t="s">
        <v>23</v>
      </c>
      <c r="C12" s="9" t="s">
        <v>24</v>
      </c>
      <c r="D12" s="15">
        <f>INDEX(항목_내부가중치!$D$8:$G$8,MATCH($C$2,항목_내부가중치!$D$1:$G$1,0))</f>
        <v>6</v>
      </c>
      <c r="E12" s="16">
        <v>0</v>
      </c>
      <c r="F12" s="17">
        <f t="shared" si="0"/>
        <v>0</v>
      </c>
    </row>
    <row r="13" spans="1:6">
      <c r="A13" s="7">
        <v>8</v>
      </c>
      <c r="B13" s="14" t="s">
        <v>23</v>
      </c>
      <c r="C13" s="9" t="s">
        <v>26</v>
      </c>
      <c r="D13" s="15">
        <f>INDEX(항목_내부가중치!$D$9:$G$9,MATCH($C$2,항목_내부가중치!$D$1:$G$1,0))</f>
        <v>9</v>
      </c>
      <c r="E13" s="16">
        <v>0</v>
      </c>
      <c r="F13" s="17">
        <f t="shared" si="0"/>
        <v>0</v>
      </c>
    </row>
    <row r="14" spans="1:6">
      <c r="A14" s="7">
        <v>9</v>
      </c>
      <c r="B14" s="14" t="s">
        <v>23</v>
      </c>
      <c r="C14" s="9" t="s">
        <v>28</v>
      </c>
      <c r="D14" s="15">
        <f>INDEX(항목_내부가중치!$D$10:$G$10,MATCH($C$2,항목_내부가중치!$D$1:$G$1,0))</f>
        <v>8</v>
      </c>
      <c r="E14" s="16">
        <v>0</v>
      </c>
      <c r="F14" s="17">
        <f t="shared" si="0"/>
        <v>0</v>
      </c>
    </row>
    <row r="15" spans="1:6">
      <c r="A15" s="7">
        <v>10</v>
      </c>
      <c r="B15" s="14" t="s">
        <v>23</v>
      </c>
      <c r="C15" s="9" t="s">
        <v>30</v>
      </c>
      <c r="D15" s="15">
        <f>INDEX(항목_내부가중치!$D$11:$G$11,MATCH($C$2,항목_내부가중치!$D$1:$G$1,0))</f>
        <v>6</v>
      </c>
      <c r="E15" s="16">
        <v>0</v>
      </c>
      <c r="F15" s="17">
        <f t="shared" si="0"/>
        <v>0</v>
      </c>
    </row>
    <row r="16" spans="1:6">
      <c r="A16" s="7">
        <v>11</v>
      </c>
      <c r="B16" s="14" t="s">
        <v>23</v>
      </c>
      <c r="C16" s="9" t="s">
        <v>32</v>
      </c>
      <c r="D16" s="15">
        <f>INDEX(항목_내부가중치!$D$12:$G$12,MATCH($C$2,항목_내부가중치!$D$1:$G$1,0))</f>
        <v>6</v>
      </c>
      <c r="E16" s="16">
        <v>0</v>
      </c>
      <c r="F16" s="17">
        <f t="shared" si="0"/>
        <v>0</v>
      </c>
    </row>
    <row r="17" spans="1:6">
      <c r="A17" s="7">
        <v>12</v>
      </c>
      <c r="B17" s="14" t="s">
        <v>23</v>
      </c>
      <c r="C17" s="9" t="s">
        <v>34</v>
      </c>
      <c r="D17" s="15">
        <f>INDEX(항목_내부가중치!$D$13:$G$13,MATCH($C$2,항목_내부가중치!$D$1:$G$1,0))</f>
        <v>0</v>
      </c>
      <c r="E17" s="16">
        <v>0</v>
      </c>
      <c r="F17" s="17">
        <f t="shared" si="0"/>
        <v>0</v>
      </c>
    </row>
    <row r="18" spans="1:6">
      <c r="A18" s="7">
        <v>13</v>
      </c>
      <c r="B18" s="14" t="s">
        <v>117</v>
      </c>
      <c r="C18" s="9" t="s">
        <v>38</v>
      </c>
      <c r="D18" s="15">
        <f>INDEX(항목_내부가중치!$D$14:$G$14,MATCH($C$2,항목_내부가중치!$D$1:$G$1,0))</f>
        <v>7</v>
      </c>
      <c r="E18" s="16">
        <v>0</v>
      </c>
      <c r="F18" s="17">
        <f t="shared" si="0"/>
        <v>0</v>
      </c>
    </row>
    <row r="19" spans="1:6">
      <c r="A19" s="7">
        <v>14</v>
      </c>
      <c r="B19" s="14" t="s">
        <v>117</v>
      </c>
      <c r="C19" s="9" t="s">
        <v>40</v>
      </c>
      <c r="D19" s="15">
        <f>INDEX(항목_내부가중치!$D$15:$G$15,MATCH($C$2,항목_내부가중치!$D$1:$G$1,0))</f>
        <v>6</v>
      </c>
      <c r="E19" s="16">
        <v>0</v>
      </c>
      <c r="F19" s="17">
        <f t="shared" si="0"/>
        <v>0</v>
      </c>
    </row>
    <row r="20" spans="1:6">
      <c r="A20" s="7">
        <v>15</v>
      </c>
      <c r="B20" s="14" t="s">
        <v>117</v>
      </c>
      <c r="C20" s="9" t="s">
        <v>42</v>
      </c>
      <c r="D20" s="15">
        <f>INDEX(항목_내부가중치!$D$16:$G$16,MATCH($C$2,항목_내부가중치!$D$1:$G$1,0))</f>
        <v>0</v>
      </c>
      <c r="E20" s="16">
        <v>0</v>
      </c>
      <c r="F20" s="17">
        <f t="shared" si="0"/>
        <v>0</v>
      </c>
    </row>
    <row r="21" spans="1:6">
      <c r="A21" s="7">
        <v>16</v>
      </c>
      <c r="B21" s="14" t="s">
        <v>117</v>
      </c>
      <c r="C21" s="9" t="s">
        <v>45</v>
      </c>
      <c r="D21" s="15">
        <f>INDEX(항목_내부가중치!$D$17:$G$17,MATCH($C$2,항목_내부가중치!$D$1:$G$1,0))</f>
        <v>0</v>
      </c>
      <c r="E21" s="16">
        <v>0</v>
      </c>
      <c r="F21" s="17">
        <f t="shared" si="0"/>
        <v>0</v>
      </c>
    </row>
    <row r="22" spans="1:6">
      <c r="A22" s="7">
        <v>17</v>
      </c>
      <c r="B22" s="14" t="s">
        <v>47</v>
      </c>
      <c r="C22" s="9" t="s">
        <v>48</v>
      </c>
      <c r="D22" s="15">
        <f>INDEX(항목_내부가중치!$D$18:$G$18,MATCH($C$2,항목_내부가중치!$D$1:$G$1,0))</f>
        <v>4</v>
      </c>
      <c r="E22" s="16">
        <v>0</v>
      </c>
      <c r="F22" s="17">
        <f t="shared" si="0"/>
        <v>0</v>
      </c>
    </row>
    <row r="23" spans="1:6">
      <c r="A23" s="7">
        <v>18</v>
      </c>
      <c r="B23" s="14" t="s">
        <v>47</v>
      </c>
      <c r="C23" s="9" t="s">
        <v>50</v>
      </c>
      <c r="D23" s="15">
        <f>INDEX(항목_내부가중치!$D$19:$G$19,MATCH($C$2,항목_내부가중치!$D$1:$G$1,0))</f>
        <v>6</v>
      </c>
      <c r="E23" s="16">
        <v>0</v>
      </c>
      <c r="F23" s="17">
        <f t="shared" si="0"/>
        <v>0</v>
      </c>
    </row>
    <row r="24" spans="1:6">
      <c r="A24" s="7">
        <v>19</v>
      </c>
      <c r="B24" s="14" t="s">
        <v>47</v>
      </c>
      <c r="C24" s="9" t="s">
        <v>52</v>
      </c>
      <c r="D24" s="15">
        <f>INDEX(항목_내부가중치!$D$20:$G$20,MATCH($C$2,항목_내부가중치!$D$1:$G$1,0))</f>
        <v>4</v>
      </c>
      <c r="E24" s="16">
        <v>0</v>
      </c>
      <c r="F24" s="17">
        <f t="shared" si="0"/>
        <v>0</v>
      </c>
    </row>
    <row r="25" spans="1:6">
      <c r="A25" s="7">
        <v>20</v>
      </c>
      <c r="B25" s="14" t="s">
        <v>47</v>
      </c>
      <c r="C25" s="9" t="s">
        <v>54</v>
      </c>
      <c r="D25" s="15">
        <f>INDEX(항목_내부가중치!$D$21:$G$21,MATCH($C$2,항목_내부가중치!$D$1:$G$1,0))</f>
        <v>3</v>
      </c>
      <c r="E25" s="16">
        <v>0</v>
      </c>
      <c r="F25" s="17">
        <f t="shared" si="0"/>
        <v>0</v>
      </c>
    </row>
    <row r="26" spans="1:6">
      <c r="A26" s="7">
        <v>21</v>
      </c>
      <c r="B26" s="14" t="s">
        <v>47</v>
      </c>
      <c r="C26" s="9" t="s">
        <v>56</v>
      </c>
      <c r="D26" s="15">
        <f>INDEX(항목_내부가중치!$D$22:$G$22,MATCH($C$2,항목_내부가중치!$D$1:$G$1,0))</f>
        <v>5</v>
      </c>
      <c r="E26" s="16">
        <v>0</v>
      </c>
      <c r="F26" s="17">
        <f t="shared" si="0"/>
        <v>0</v>
      </c>
    </row>
    <row r="27" spans="1:6">
      <c r="A27" s="7">
        <v>22</v>
      </c>
      <c r="B27" s="14" t="s">
        <v>58</v>
      </c>
      <c r="C27" s="9" t="s">
        <v>59</v>
      </c>
      <c r="D27" s="15">
        <f>INDEX(항목_내부가중치!$D$23:$G$23,MATCH($C$2,항목_내부가중치!$D$1:$G$1,0))</f>
        <v>4</v>
      </c>
      <c r="E27" s="16">
        <v>0</v>
      </c>
      <c r="F27" s="17">
        <f t="shared" si="0"/>
        <v>0</v>
      </c>
    </row>
    <row r="28" spans="1:6">
      <c r="A28" s="7">
        <v>23</v>
      </c>
      <c r="B28" s="14" t="s">
        <v>58</v>
      </c>
      <c r="C28" s="9" t="s">
        <v>62</v>
      </c>
      <c r="D28" s="15">
        <f>INDEX(항목_내부가중치!$D$24:$G$24,MATCH($C$2,항목_내부가중치!$D$1:$G$1,0))</f>
        <v>4</v>
      </c>
      <c r="E28" s="16">
        <v>0</v>
      </c>
      <c r="F28" s="17">
        <f t="shared" si="0"/>
        <v>0</v>
      </c>
    </row>
    <row r="29" spans="1:6">
      <c r="A29" s="7">
        <v>24</v>
      </c>
      <c r="B29" s="14" t="s">
        <v>58</v>
      </c>
      <c r="C29" s="9" t="s">
        <v>65</v>
      </c>
      <c r="D29" s="15">
        <f>INDEX(항목_내부가중치!$D$25:$G$25,MATCH($C$2,항목_내부가중치!$D$1:$G$1,0))</f>
        <v>3</v>
      </c>
      <c r="E29" s="16">
        <v>0</v>
      </c>
      <c r="F29" s="17">
        <f t="shared" si="0"/>
        <v>0</v>
      </c>
    </row>
    <row r="30" spans="1:6">
      <c r="A30" s="7">
        <v>25</v>
      </c>
      <c r="B30" s="14" t="s">
        <v>58</v>
      </c>
      <c r="C30" s="9" t="s">
        <v>67</v>
      </c>
      <c r="D30" s="15">
        <f>INDEX(항목_내부가중치!$D$26:$G$26,MATCH($C$2,항목_내부가중치!$D$1:$G$1,0))</f>
        <v>3</v>
      </c>
      <c r="E30" s="16">
        <v>0</v>
      </c>
      <c r="F30" s="17">
        <f t="shared" si="0"/>
        <v>0</v>
      </c>
    </row>
    <row r="31" spans="1:6">
      <c r="A31" s="7">
        <v>26</v>
      </c>
      <c r="B31" s="14" t="s">
        <v>58</v>
      </c>
      <c r="C31" s="9" t="s">
        <v>69</v>
      </c>
      <c r="D31" s="15">
        <f>INDEX(항목_내부가중치!$D$27:$G$27,MATCH($C$2,항목_내부가중치!$D$1:$G$1,0))</f>
        <v>4</v>
      </c>
      <c r="E31" s="16">
        <v>0</v>
      </c>
      <c r="F31" s="17">
        <f t="shared" si="0"/>
        <v>0</v>
      </c>
    </row>
    <row r="32" spans="1:6">
      <c r="A32" s="7">
        <v>27</v>
      </c>
      <c r="B32" s="14" t="s">
        <v>71</v>
      </c>
      <c r="C32" s="9" t="s">
        <v>72</v>
      </c>
      <c r="D32" s="15">
        <f>INDEX(항목_내부가중치!$D$28:$G$28,MATCH($C$2,항목_내부가중치!$D$1:$G$1,0))</f>
        <v>6</v>
      </c>
      <c r="E32" s="16">
        <v>0</v>
      </c>
      <c r="F32" s="17">
        <f t="shared" si="0"/>
        <v>0</v>
      </c>
    </row>
    <row r="33" spans="1:6">
      <c r="A33" s="7">
        <v>28</v>
      </c>
      <c r="B33" s="14" t="s">
        <v>71</v>
      </c>
      <c r="C33" s="9" t="s">
        <v>74</v>
      </c>
      <c r="D33" s="15">
        <f>INDEX(항목_내부가중치!$D$29:$G$29,MATCH($C$2,항목_내부가중치!$D$1:$G$1,0))</f>
        <v>5</v>
      </c>
      <c r="E33" s="16">
        <v>0</v>
      </c>
      <c r="F33" s="17">
        <f t="shared" si="0"/>
        <v>0</v>
      </c>
    </row>
    <row r="34" spans="1:6">
      <c r="A34" s="7">
        <v>29</v>
      </c>
      <c r="B34" s="14" t="s">
        <v>71</v>
      </c>
      <c r="C34" s="9" t="s">
        <v>77</v>
      </c>
      <c r="D34" s="15">
        <f>INDEX(항목_내부가중치!$D$30:$G$30,MATCH($C$2,항목_내부가중치!$D$1:$G$1,0))</f>
        <v>6</v>
      </c>
      <c r="E34" s="16">
        <v>0</v>
      </c>
      <c r="F34" s="17">
        <f t="shared" si="0"/>
        <v>0</v>
      </c>
    </row>
    <row r="35" spans="1:6">
      <c r="A35" s="7">
        <v>30</v>
      </c>
      <c r="B35" s="14" t="s">
        <v>71</v>
      </c>
      <c r="C35" s="9" t="s">
        <v>79</v>
      </c>
      <c r="D35" s="15">
        <f>INDEX(항목_내부가중치!$D$31:$G$31,MATCH($C$2,항목_내부가중치!$D$1:$G$1,0))</f>
        <v>5</v>
      </c>
      <c r="E35" s="16">
        <v>0</v>
      </c>
      <c r="F35" s="17">
        <f t="shared" si="0"/>
        <v>0</v>
      </c>
    </row>
    <row r="36" spans="1:6">
      <c r="A36" s="7">
        <v>31</v>
      </c>
      <c r="B36" s="14" t="s">
        <v>81</v>
      </c>
      <c r="C36" s="9" t="s">
        <v>82</v>
      </c>
      <c r="D36" s="15">
        <f>INDEX(항목_내부가중치!$D$32:$G$32,MATCH($C$2,항목_내부가중치!$D$1:$G$1,0))</f>
        <v>5</v>
      </c>
      <c r="E36" s="16">
        <v>0</v>
      </c>
      <c r="F36" s="17">
        <f t="shared" si="0"/>
        <v>0</v>
      </c>
    </row>
    <row r="37" spans="1:6">
      <c r="A37" s="7">
        <v>32</v>
      </c>
      <c r="B37" s="14" t="s">
        <v>81</v>
      </c>
      <c r="C37" s="9" t="s">
        <v>85</v>
      </c>
      <c r="D37" s="15">
        <f>INDEX(항목_내부가중치!$D$33:$G$33,MATCH($C$2,항목_내부가중치!$D$1:$G$1,0))</f>
        <v>5</v>
      </c>
      <c r="E37" s="16">
        <v>0</v>
      </c>
      <c r="F37" s="17">
        <f t="shared" si="0"/>
        <v>0</v>
      </c>
    </row>
    <row r="38" spans="1:6">
      <c r="A38" s="7">
        <v>33</v>
      </c>
      <c r="B38" s="14" t="s">
        <v>81</v>
      </c>
      <c r="C38" s="9" t="s">
        <v>87</v>
      </c>
      <c r="D38" s="15">
        <f>INDEX(항목_내부가중치!$D$34:$G$34,MATCH($C$2,항목_내부가중치!$D$1:$G$1,0))</f>
        <v>4</v>
      </c>
      <c r="E38" s="16">
        <v>0</v>
      </c>
      <c r="F38" s="17">
        <f t="shared" si="0"/>
        <v>0</v>
      </c>
    </row>
    <row r="39" spans="1:6">
      <c r="A39" s="7">
        <v>34</v>
      </c>
      <c r="B39" s="14" t="s">
        <v>71</v>
      </c>
      <c r="C39" s="9" t="s">
        <v>89</v>
      </c>
      <c r="D39" s="15">
        <f>INDEX(항목_내부가중치!$D$35:$G$35,MATCH($C$2,항목_내부가중치!$D$1:$G$1,0))</f>
        <v>5</v>
      </c>
      <c r="E39" s="16">
        <v>0</v>
      </c>
      <c r="F39" s="17">
        <f t="shared" si="0"/>
        <v>0</v>
      </c>
    </row>
    <row r="40" spans="1:6">
      <c r="A40" s="7">
        <v>35</v>
      </c>
      <c r="B40" s="14" t="s">
        <v>71</v>
      </c>
      <c r="C40" s="9" t="s">
        <v>92</v>
      </c>
      <c r="D40" s="15">
        <f>INDEX(항목_내부가중치!$D$36:$G$36,MATCH($C$2,항목_내부가중치!$D$1:$G$1,0))</f>
        <v>5</v>
      </c>
      <c r="E40" s="16">
        <v>0</v>
      </c>
      <c r="F40" s="17">
        <f t="shared" si="0"/>
        <v>0</v>
      </c>
    </row>
    <row r="41" spans="1:6">
      <c r="A41" s="7">
        <v>36</v>
      </c>
      <c r="B41" s="14" t="s">
        <v>71</v>
      </c>
      <c r="C41" s="9" t="s">
        <v>94</v>
      </c>
      <c r="D41" s="15">
        <f>INDEX(항목_내부가중치!$D$37:$G$37,MATCH($C$2,항목_내부가중치!$D$1:$G$1,0))</f>
        <v>4</v>
      </c>
      <c r="E41" s="16">
        <v>0</v>
      </c>
      <c r="F41" s="17">
        <f t="shared" si="0"/>
        <v>0</v>
      </c>
    </row>
    <row r="42" spans="1:6">
      <c r="A42" s="7">
        <v>37</v>
      </c>
      <c r="B42" s="14" t="s">
        <v>71</v>
      </c>
      <c r="C42" s="9" t="s">
        <v>96</v>
      </c>
      <c r="D42" s="15">
        <f>INDEX(항목_내부가중치!$D$38:$G$38,MATCH($C$2,항목_내부가중치!$D$1:$G$1,0))</f>
        <v>6</v>
      </c>
      <c r="E42" s="16">
        <v>0</v>
      </c>
      <c r="F42" s="17">
        <f t="shared" si="0"/>
        <v>0</v>
      </c>
    </row>
    <row r="43" spans="1:6">
      <c r="A43" s="7">
        <v>38</v>
      </c>
      <c r="B43" s="14" t="s">
        <v>71</v>
      </c>
      <c r="C43" s="9" t="s">
        <v>98</v>
      </c>
      <c r="D43" s="15">
        <f>INDEX(항목_내부가중치!$D$39:$G$39,MATCH($C$2,항목_내부가중치!$D$1:$G$1,0))</f>
        <v>7</v>
      </c>
      <c r="E43" s="16">
        <v>0</v>
      </c>
      <c r="F43" s="17">
        <f t="shared" si="0"/>
        <v>0</v>
      </c>
    </row>
    <row r="44" spans="1:6">
      <c r="A44" s="7">
        <v>39</v>
      </c>
      <c r="B44" s="14" t="s">
        <v>71</v>
      </c>
      <c r="C44" s="9" t="s">
        <v>100</v>
      </c>
      <c r="D44" s="15">
        <f>INDEX(항목_내부가중치!$D$40:$G$40,MATCH($C$2,항목_내부가중치!$D$1:$G$1,0))</f>
        <v>4</v>
      </c>
      <c r="E44" s="16">
        <v>0</v>
      </c>
      <c r="F44" s="17">
        <f t="shared" si="0"/>
        <v>0</v>
      </c>
    </row>
    <row r="46" spans="1:6" ht="16">
      <c r="A46" s="12" t="s">
        <v>118</v>
      </c>
    </row>
    <row r="47" spans="1:6" ht="32">
      <c r="A47" s="2" t="s">
        <v>1</v>
      </c>
      <c r="B47" s="2" t="s">
        <v>119</v>
      </c>
      <c r="C47" s="2" t="s">
        <v>120</v>
      </c>
      <c r="D47" s="2" t="s">
        <v>121</v>
      </c>
    </row>
    <row r="48" spans="1:6">
      <c r="A48" s="3" t="s">
        <v>6</v>
      </c>
      <c r="B48" s="17">
        <f>INDEX(클러스터_가중치!$B$2:$E$2,MATCH($C$2,클러스터_가중치!$B$1:$E$1,0))</f>
        <v>26</v>
      </c>
      <c r="C48" s="18">
        <f t="shared" ref="C48:C54" si="1">IFERROR(SUMPRODUCT(($B$6:$B$44=A48)*$D$6:$D$44*$E$6:$E$44)/SUMPRODUCT(($B$6:$B$44=A48)*$D$6:$D$44),0)</f>
        <v>0</v>
      </c>
      <c r="D48" s="19">
        <f t="shared" ref="D48:D54" si="2">B48*C48/100</f>
        <v>0</v>
      </c>
    </row>
    <row r="49" spans="1:4">
      <c r="A49" s="3" t="s">
        <v>23</v>
      </c>
      <c r="B49" s="17">
        <f>INDEX(클러스터_가중치!$B$3:$E$3,MATCH($C$2,클러스터_가중치!$B$1:$E$1,0))</f>
        <v>23</v>
      </c>
      <c r="C49" s="18">
        <f t="shared" si="1"/>
        <v>0</v>
      </c>
      <c r="D49" s="19">
        <f t="shared" si="2"/>
        <v>0</v>
      </c>
    </row>
    <row r="50" spans="1:4">
      <c r="A50" s="3" t="s">
        <v>106</v>
      </c>
      <c r="B50" s="17">
        <f>INDEX(클러스터_가중치!$B$4:$E$4,MATCH($C$2,클러스터_가중치!$B$1:$E$1,0))</f>
        <v>8</v>
      </c>
      <c r="C50" s="18">
        <f t="shared" si="1"/>
        <v>0</v>
      </c>
      <c r="D50" s="19">
        <f t="shared" si="2"/>
        <v>0</v>
      </c>
    </row>
    <row r="51" spans="1:4">
      <c r="A51" s="3" t="s">
        <v>47</v>
      </c>
      <c r="B51" s="17">
        <f>INDEX(클러스터_가중치!$B$5:$E$5,MATCH($C$2,클러스터_가중치!$B$1:$E$1,0))</f>
        <v>10</v>
      </c>
      <c r="C51" s="18">
        <f t="shared" si="1"/>
        <v>0</v>
      </c>
      <c r="D51" s="19">
        <f t="shared" si="2"/>
        <v>0</v>
      </c>
    </row>
    <row r="52" spans="1:4">
      <c r="A52" s="3" t="s">
        <v>58</v>
      </c>
      <c r="B52" s="17">
        <f>INDEX(클러스터_가중치!$B$6:$E$6,MATCH($C$2,클러스터_가중치!$B$1:$E$1,0))</f>
        <v>7</v>
      </c>
      <c r="C52" s="18">
        <f t="shared" si="1"/>
        <v>0</v>
      </c>
      <c r="D52" s="19">
        <f t="shared" si="2"/>
        <v>0</v>
      </c>
    </row>
    <row r="53" spans="1:4">
      <c r="A53" s="3" t="s">
        <v>71</v>
      </c>
      <c r="B53" s="17">
        <f>INDEX(클러스터_가중치!$B$7:$E$7,MATCH($C$2,클러스터_가중치!$B$1:$E$1,0))</f>
        <v>13</v>
      </c>
      <c r="C53" s="18">
        <f t="shared" si="1"/>
        <v>0</v>
      </c>
      <c r="D53" s="19">
        <f t="shared" si="2"/>
        <v>0</v>
      </c>
    </row>
    <row r="54" spans="1:4">
      <c r="A54" s="3" t="s">
        <v>81</v>
      </c>
      <c r="B54" s="17">
        <f>INDEX(클러스터_가중치!$B$8:$E$8,MATCH($C$2,클러스터_가중치!$B$1:$E$1,0))</f>
        <v>13</v>
      </c>
      <c r="C54" s="18">
        <f t="shared" si="1"/>
        <v>0</v>
      </c>
      <c r="D54" s="19">
        <f t="shared" si="2"/>
        <v>0</v>
      </c>
    </row>
    <row r="56" spans="1:4" ht="18">
      <c r="A56" s="20" t="s">
        <v>122</v>
      </c>
      <c r="D56" s="21">
        <f>SUM(D48:D54)</f>
        <v>0</v>
      </c>
    </row>
    <row r="57" spans="1:4">
      <c r="A57" s="11" t="s">
        <v>123</v>
      </c>
      <c r="B57" s="22">
        <f>SUM(B48:B54)</f>
        <v>100</v>
      </c>
    </row>
    <row r="59" spans="1:4">
      <c r="A59" s="11" t="s">
        <v>124</v>
      </c>
    </row>
  </sheetData>
  <dataValidations count="1">
    <dataValidation type="list" sqref="C2" xr:uid="{00000000-0002-0000-0300-000000000000}">
      <formula1>"학교 프로젝트 (교수 대상),신제품 설명 (대중 대상),업무 보고 (상사 대상),동료 간 캐주얼 PR"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평가기준표</vt:lpstr>
      <vt:lpstr>클러스터_가중치</vt:lpstr>
      <vt:lpstr>항목_내부가중치</vt:lpstr>
      <vt:lpstr>점수산정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정현석</cp:lastModifiedBy>
  <cp:revision>0</cp:revision>
  <dcterms:created xsi:type="dcterms:W3CDTF">2026-08-05T12:17:58Z</dcterms:created>
  <dcterms:modified xsi:type="dcterms:W3CDTF">2026-08-05T14:57:51Z</dcterms:modified>
  <dc:language>en-US</dc:language>
</cp:coreProperties>
</file>